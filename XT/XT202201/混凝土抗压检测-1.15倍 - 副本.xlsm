
<file path=[Content_Types].xml><?xml version="1.0" encoding="utf-8"?>
<Types xmlns="http://schemas.openxmlformats.org/package/2006/content-types"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540" activeTab="1"/>
  </bookViews>
  <sheets>
    <sheet name="150201-2022000015" sheetId="7" r:id="rId1"/>
    <sheet name="150201-2021001857" sheetId="8" r:id="rId2"/>
  </sheets>
  <externalReferences>
    <externalReference r:id="rId3"/>
    <externalReference r:id="rId4"/>
  </externalReferences>
  <definedNames>
    <definedName name="检测类型">[2]辅助计算表!$C$2:$U$2</definedName>
    <definedName name="混凝土抗压强度检测">[2]辅助计算表!$C$3:$C$180</definedName>
    <definedName name="砂浆抗压强度检测">[2]辅助计算表!$D$3:$D$180</definedName>
    <definedName name="混凝土配合比检测">[2]辅助计算表!$E$3:$E$180</definedName>
    <definedName name="砂浆配合比检测">[2]辅助计算表!$F$3:$F$180</definedName>
    <definedName name="砂料检测">[2]辅助计算表!$G$3:$G$180</definedName>
    <definedName name="碎石检测">[2]辅助计算表!$H$3:$H$180</definedName>
    <definedName name="水泥检测">[2]辅助计算表!$I$3:$I$180</definedName>
    <definedName name="钢筋检测">[2]辅助计算表!$J$3:$J$180</definedName>
    <definedName name="钢筋接头检测">[2]辅助计算表!$K$3:$K$180</definedName>
    <definedName name="砌体材料检测">[2]辅助计算表!$L$3:$L$181</definedName>
    <definedName name="实体检测">[2]辅助计算表!$M$3:$M$180</definedName>
    <definedName name="地基基础检测">[2]辅助计算表!$N$3:$N$180</definedName>
    <definedName name="路基检测">[2]辅助计算表!$O$3:$O$180</definedName>
    <definedName name="建筑节能检测">[2]辅助计算表!$P$3:$P$180</definedName>
    <definedName name="管线检测">[2]辅助计算表!$Q$3:$Q$180</definedName>
    <definedName name="防水卷材">[2]辅助计算表!$R$3:$R$180</definedName>
    <definedName name="混凝土抗渗检测">[2]辅助计算表!$S$3:$S$180</definedName>
    <definedName name="项目类别">[1]子目!$I$3:$J$3</definedName>
    <definedName name="固定资产">[1]子目!$I$4:$I$19</definedName>
    <definedName name="运营支出">[1]子目!$J$4:$J$190</definedName>
    <definedName name="网费">[1]子目!$K$4:$K$19</definedName>
    <definedName name="差旅费">[1]子目!$L$4:$L$19</definedName>
    <definedName name="接待费">[1]子目!$M$4:$M$19</definedName>
    <definedName name="人工费">[1]子目!$N$4:$N$19</definedName>
    <definedName name="材料费">[1]子目!$O$4:$O$19</definedName>
    <definedName name="维护费">[1]子目!$P$4:$P$19</definedName>
    <definedName name="_xlnm.Print_Area" localSheetId="0">'150201-2022000015'!$A$1:$H$23</definedName>
    <definedName name="_xlnm.Print_Area" localSheetId="1">'150201-2021001857'!$A$1:$H$23</definedName>
  </definedNames>
  <calcPr calcId="144525"/>
</workbook>
</file>

<file path=xl/sharedStrings.xml><?xml version="1.0" encoding="utf-8"?>
<sst xmlns="http://schemas.openxmlformats.org/spreadsheetml/2006/main" count="108" uniqueCount="55">
  <si>
    <t>检测编号：</t>
  </si>
  <si>
    <t>150201-2022000015</t>
  </si>
  <si>
    <t xml:space="preserve">     四川恒固建设工程检测有限公司</t>
  </si>
  <si>
    <t>地址：</t>
  </si>
  <si>
    <t>兴文县古宋镇马栏湾二组中华苑3号楼1层26户室</t>
  </si>
  <si>
    <t>TEL：</t>
  </si>
  <si>
    <t>0831-8833125</t>
  </si>
  <si>
    <t>混凝土抗压强度检测报告</t>
  </si>
  <si>
    <t>返回委托单</t>
  </si>
  <si>
    <t>工程名称</t>
  </si>
  <si>
    <t>宜宾祥泰纸浆模塑环保餐具项目一期工程</t>
  </si>
  <si>
    <t>委托单位</t>
  </si>
  <si>
    <t>宜宾祥泰环保科技有限公司</t>
  </si>
  <si>
    <t>委托类型</t>
  </si>
  <si>
    <t>有见证取样送检</t>
  </si>
  <si>
    <t>见证单位</t>
  </si>
  <si>
    <t>重庆必然工程建设有限公司</t>
  </si>
  <si>
    <t>见证人及编号</t>
  </si>
  <si>
    <t>贾三江</t>
  </si>
  <si>
    <t>施工单位</t>
  </si>
  <si>
    <t>四川鹏莱建设工程有限责任公司</t>
  </si>
  <si>
    <t>标养编号</t>
  </si>
  <si>
    <t>-</t>
  </si>
  <si>
    <t>使用部位</t>
  </si>
  <si>
    <t>倒班楼四层构造柱、压顶、过梁、止水带、边框、板</t>
  </si>
  <si>
    <t>成型日期</t>
  </si>
  <si>
    <t>强度等级</t>
  </si>
  <si>
    <t>C25</t>
  </si>
  <si>
    <t>送检日期</t>
  </si>
  <si>
    <t>养护方式及龄期</t>
  </si>
  <si>
    <t>标准养护   28d</t>
  </si>
  <si>
    <t>检测日期</t>
  </si>
  <si>
    <t>代表批量</t>
  </si>
  <si>
    <r>
      <rPr>
        <sz val="10.5"/>
        <color theme="1"/>
        <rFont val="宋体"/>
        <charset val="134"/>
      </rPr>
      <t>26m</t>
    </r>
    <r>
      <rPr>
        <vertAlign val="superscript"/>
        <sz val="10.5"/>
        <color theme="1"/>
        <rFont val="宋体"/>
        <charset val="134"/>
      </rPr>
      <t>3</t>
    </r>
  </si>
  <si>
    <t>报告日期</t>
  </si>
  <si>
    <t>样品状态描述</t>
  </si>
  <si>
    <t>青灰色；表面平整的立方体；无破损；微量孔洞。</t>
  </si>
  <si>
    <t>检测依据</t>
  </si>
  <si>
    <t>GB/T 50081-2019</t>
  </si>
  <si>
    <t>试件编号</t>
  </si>
  <si>
    <t>试件尺寸（mm)
(长×宽×高）</t>
  </si>
  <si>
    <t>破坏荷载
（kN）</t>
  </si>
  <si>
    <t>抗压强度（MPa)</t>
  </si>
  <si>
    <t>抗压强度值（MPa)</t>
  </si>
  <si>
    <t>100×100×100</t>
  </si>
  <si>
    <t>备注</t>
  </si>
  <si>
    <t>委托方自行标养。</t>
  </si>
  <si>
    <t>声明</t>
  </si>
  <si>
    <t>1.未加盖本公司“检验检测专用章”，报告无效。
2.送样检测，仅对来样检测负责。
3.对报告若有异议，应及时向检测单位提出。
4.复制报告未重新加盖本公司“检验检测专用章”，报告无效。</t>
  </si>
  <si>
    <t>签发：</t>
  </si>
  <si>
    <t>审核：</t>
  </si>
  <si>
    <t>检测：</t>
  </si>
  <si>
    <t>150201-2021001857</t>
  </si>
  <si>
    <t>倒班楼三层构造柱、压顶、过梁、止水带、边框、板</t>
  </si>
  <si>
    <r>
      <rPr>
        <sz val="10.5"/>
        <color theme="1"/>
        <rFont val="宋体"/>
        <charset val="134"/>
      </rPr>
      <t>23m</t>
    </r>
    <r>
      <rPr>
        <vertAlign val="superscript"/>
        <sz val="10.5"/>
        <color theme="1"/>
        <rFont val="宋体"/>
        <charset val="134"/>
      </rPr>
      <t>3</t>
    </r>
  </si>
</sst>
</file>

<file path=xl/styles.xml><?xml version="1.0" encoding="utf-8"?>
<styleSheet xmlns="http://schemas.openxmlformats.org/spreadsheetml/2006/main">
  <numFmts count="8">
    <numFmt numFmtId="42" formatCode="_ &quot;￥&quot;* #,##0_ ;_ &quot;￥&quot;* \-#,##0_ ;_ &quot;￥&quot;* &quot;-&quot;_ ;_ @_ "/>
    <numFmt numFmtId="176" formatCode="yyyy/mm/dd"/>
    <numFmt numFmtId="44" formatCode="_ &quot;￥&quot;* #,##0.00_ ;_ &quot;￥&quot;* \-#,##0.00_ ;_ &quot;￥&quot;* &quot;-&quot;??_ ;_ @_ "/>
    <numFmt numFmtId="41" formatCode="_ * #,##0_ ;_ * \-#,##0_ ;_ * &quot;-&quot;_ ;_ @_ "/>
    <numFmt numFmtId="177" formatCode="yyyy\-mm\-dd"/>
    <numFmt numFmtId="43" formatCode="_ * #,##0.00_ ;_ * \-#,##0.00_ ;_ * &quot;-&quot;??_ ;_ @_ "/>
    <numFmt numFmtId="178" formatCode="0.0_ "/>
    <numFmt numFmtId="179" formatCode="yyyy/m/d;@"/>
  </numFmts>
  <fonts count="27">
    <font>
      <sz val="11"/>
      <color theme="1"/>
      <name val="宋体"/>
      <charset val="134"/>
      <scheme val="minor"/>
    </font>
    <font>
      <sz val="9"/>
      <color theme="1"/>
      <name val="宋体"/>
      <charset val="134"/>
      <scheme val="minor"/>
    </font>
    <font>
      <sz val="8"/>
      <color theme="1"/>
      <name val="宋体"/>
      <charset val="134"/>
      <scheme val="minor"/>
    </font>
    <font>
      <b/>
      <sz val="20"/>
      <color theme="1"/>
      <name val="宋体"/>
      <charset val="134"/>
    </font>
    <font>
      <sz val="10.5"/>
      <color theme="1"/>
      <name val="宋体"/>
      <charset val="134"/>
    </font>
    <font>
      <sz val="9"/>
      <color theme="1"/>
      <name val="宋体"/>
      <charset val="134"/>
    </font>
    <font>
      <sz val="10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FA7D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vertAlign val="superscript"/>
      <sz val="10.5"/>
      <color theme="1"/>
      <name val="宋体"/>
      <charset val="134"/>
    </font>
  </fonts>
  <fills count="33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10" fillId="7" borderId="1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7" borderId="14" applyNumberFormat="0" applyFont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2" fillId="0" borderId="17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8" fillId="0" borderId="19" applyNumberFormat="0" applyFill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21" fillId="11" borderId="16" applyNumberFormat="0" applyAlignment="0" applyProtection="0">
      <alignment vertical="center"/>
    </xf>
    <xf numFmtId="0" fontId="12" fillId="11" borderId="12" applyNumberFormat="0" applyAlignment="0" applyProtection="0">
      <alignment vertical="center"/>
    </xf>
    <xf numFmtId="0" fontId="16" fillId="22" borderId="15" applyNumberFormat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4" fillId="0" borderId="13" applyNumberFormat="0" applyFill="0" applyAlignment="0" applyProtection="0">
      <alignment vertical="center"/>
    </xf>
    <xf numFmtId="0" fontId="24" fillId="0" borderId="18" applyNumberFormat="0" applyFill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horizontal="right" vertical="center" wrapText="1"/>
    </xf>
    <xf numFmtId="0" fontId="0" fillId="0" borderId="2" xfId="0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0" xfId="0" applyFill="1" applyBorder="1" applyAlignment="1">
      <alignment vertical="center" wrapText="1"/>
    </xf>
    <xf numFmtId="0" fontId="1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 vertical="center" wrapText="1"/>
    </xf>
    <xf numFmtId="0" fontId="1" fillId="0" borderId="0" xfId="0" applyFont="1" applyFill="1" applyAlignment="1">
      <alignment horizontal="right" vertical="center"/>
    </xf>
    <xf numFmtId="0" fontId="2" fillId="0" borderId="0" xfId="0" applyFont="1" applyFill="1" applyAlignment="1">
      <alignment horizontal="left" vertical="center"/>
    </xf>
    <xf numFmtId="0" fontId="0" fillId="0" borderId="4" xfId="0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/>
    </xf>
    <xf numFmtId="0" fontId="1" fillId="0" borderId="4" xfId="0" applyFont="1" applyFill="1" applyBorder="1" applyAlignment="1">
      <alignment horizontal="right" vertical="center"/>
    </xf>
    <xf numFmtId="0" fontId="1" fillId="0" borderId="4" xfId="0" applyFont="1" applyFill="1" applyBorder="1" applyAlignment="1">
      <alignment horizontal="left" vertical="center"/>
    </xf>
    <xf numFmtId="0" fontId="1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5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left" vertical="center" wrapText="1"/>
    </xf>
    <xf numFmtId="177" fontId="4" fillId="0" borderId="5" xfId="0" applyNumberFormat="1" applyFont="1" applyFill="1" applyBorder="1" applyAlignment="1">
      <alignment horizontal="center" vertical="center" wrapText="1"/>
    </xf>
    <xf numFmtId="178" fontId="4" fillId="0" borderId="5" xfId="0" applyNumberFormat="1" applyFont="1" applyFill="1" applyBorder="1" applyAlignment="1">
      <alignment horizontal="center" vertical="center" wrapText="1"/>
    </xf>
    <xf numFmtId="178" fontId="4" fillId="0" borderId="6" xfId="0" applyNumberFormat="1" applyFont="1" applyFill="1" applyBorder="1" applyAlignment="1">
      <alignment horizontal="center" vertical="center" wrapText="1"/>
    </xf>
    <xf numFmtId="178" fontId="4" fillId="0" borderId="7" xfId="0" applyNumberFormat="1" applyFont="1" applyFill="1" applyBorder="1" applyAlignment="1">
      <alignment horizontal="center" vertical="center" wrapText="1"/>
    </xf>
    <xf numFmtId="178" fontId="4" fillId="0" borderId="8" xfId="0" applyNumberFormat="1" applyFont="1" applyFill="1" applyBorder="1" applyAlignment="1">
      <alignment horizontal="center" vertical="center" wrapText="1"/>
    </xf>
    <xf numFmtId="178" fontId="4" fillId="0" borderId="9" xfId="0" applyNumberFormat="1" applyFont="1" applyFill="1" applyBorder="1" applyAlignment="1">
      <alignment horizontal="center" vertical="center" wrapText="1"/>
    </xf>
    <xf numFmtId="178" fontId="4" fillId="0" borderId="10" xfId="0" applyNumberFormat="1" applyFont="1" applyFill="1" applyBorder="1" applyAlignment="1">
      <alignment horizontal="center" vertical="center" wrapText="1"/>
    </xf>
    <xf numFmtId="178" fontId="4" fillId="0" borderId="11" xfId="0" applyNumberFormat="1" applyFont="1" applyFill="1" applyBorder="1" applyAlignment="1">
      <alignment horizontal="center" vertical="center" wrapText="1"/>
    </xf>
    <xf numFmtId="0" fontId="5" fillId="0" borderId="5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left" vertical="center" wrapText="1"/>
    </xf>
    <xf numFmtId="0" fontId="5" fillId="0" borderId="2" xfId="0" applyFont="1" applyFill="1" applyBorder="1" applyAlignment="1">
      <alignment horizontal="left" vertical="center" wrapText="1"/>
    </xf>
    <xf numFmtId="0" fontId="5" fillId="0" borderId="3" xfId="0" applyFont="1" applyFill="1" applyBorder="1" applyAlignment="1">
      <alignment horizontal="left" vertical="center" wrapText="1"/>
    </xf>
    <xf numFmtId="0" fontId="5" fillId="0" borderId="0" xfId="0" applyFont="1" applyFill="1" applyAlignment="1">
      <alignment horizontal="center" vertical="center" wrapText="1"/>
    </xf>
    <xf numFmtId="0" fontId="5" fillId="0" borderId="0" xfId="0" applyFont="1" applyFill="1" applyAlignment="1">
      <alignment horizontal="left" vertical="center" wrapText="1"/>
    </xf>
    <xf numFmtId="0" fontId="6" fillId="0" borderId="0" xfId="0" applyFont="1" applyFill="1" applyAlignment="1">
      <alignment horizontal="right" vertical="center" wrapText="1"/>
    </xf>
    <xf numFmtId="0" fontId="6" fillId="0" borderId="0" xfId="0" applyFont="1" applyFill="1" applyAlignment="1">
      <alignment horizontal="left"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vertical="center" wrapText="1"/>
    </xf>
    <xf numFmtId="0" fontId="7" fillId="0" borderId="0" xfId="10" applyFill="1" applyAlignment="1">
      <alignment vertical="center"/>
    </xf>
    <xf numFmtId="49" fontId="0" fillId="0" borderId="0" xfId="0" applyNumberFormat="1" applyFill="1" applyAlignment="1">
      <alignment horizontal="center" vertical="center"/>
    </xf>
    <xf numFmtId="176" fontId="4" fillId="0" borderId="0" xfId="0" applyNumberFormat="1" applyFont="1" applyFill="1" applyBorder="1" applyAlignment="1">
      <alignment vertical="center" wrapText="1"/>
    </xf>
    <xf numFmtId="179" fontId="0" fillId="0" borderId="0" xfId="0" applyNumberFormat="1" applyFill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</xdr:col>
      <xdr:colOff>85725</xdr:colOff>
      <xdr:row>22</xdr:row>
      <xdr:rowOff>30480</xdr:rowOff>
    </xdr:from>
    <xdr:to>
      <xdr:col>2</xdr:col>
      <xdr:colOff>97155</xdr:colOff>
      <xdr:row>22</xdr:row>
      <xdr:rowOff>459740</xdr:rowOff>
    </xdr:to>
    <xdr:pic>
      <xdr:nvPicPr>
        <xdr:cNvPr id="2" name="图片 1" descr="熊茂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200150" y="9015730"/>
          <a:ext cx="697230" cy="429260"/>
        </a:xfrm>
        <a:prstGeom prst="rect">
          <a:avLst/>
        </a:prstGeom>
      </xdr:spPr>
    </xdr:pic>
    <xdr:clientData/>
  </xdr:twoCellAnchor>
  <xdr:twoCellAnchor editAs="oneCell">
    <xdr:from>
      <xdr:col>3</xdr:col>
      <xdr:colOff>642620</xdr:colOff>
      <xdr:row>22</xdr:row>
      <xdr:rowOff>0</xdr:rowOff>
    </xdr:from>
    <xdr:to>
      <xdr:col>5</xdr:col>
      <xdr:colOff>128905</xdr:colOff>
      <xdr:row>22</xdr:row>
      <xdr:rowOff>490220</xdr:rowOff>
    </xdr:to>
    <xdr:pic>
      <xdr:nvPicPr>
        <xdr:cNvPr id="3" name="图片 2" descr="邓志华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3128645" y="8985250"/>
          <a:ext cx="852805" cy="490220"/>
        </a:xfrm>
        <a:prstGeom prst="rect">
          <a:avLst/>
        </a:prstGeom>
      </xdr:spPr>
    </xdr:pic>
    <xdr:clientData/>
  </xdr:twoCellAnchor>
  <xdr:twoCellAnchor editAs="oneCell">
    <xdr:from>
      <xdr:col>6</xdr:col>
      <xdr:colOff>533400</xdr:colOff>
      <xdr:row>22</xdr:row>
      <xdr:rowOff>76200</xdr:rowOff>
    </xdr:from>
    <xdr:to>
      <xdr:col>7</xdr:col>
      <xdr:colOff>285750</xdr:colOff>
      <xdr:row>22</xdr:row>
      <xdr:rowOff>395605</xdr:rowOff>
    </xdr:to>
    <xdr:pic>
      <xdr:nvPicPr>
        <xdr:cNvPr id="4" name="图片 3" descr="吴雪琦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5071745" y="9061450"/>
          <a:ext cx="523875" cy="3194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</xdr:col>
      <xdr:colOff>85725</xdr:colOff>
      <xdr:row>22</xdr:row>
      <xdr:rowOff>30480</xdr:rowOff>
    </xdr:from>
    <xdr:to>
      <xdr:col>2</xdr:col>
      <xdr:colOff>97155</xdr:colOff>
      <xdr:row>22</xdr:row>
      <xdr:rowOff>459740</xdr:rowOff>
    </xdr:to>
    <xdr:pic>
      <xdr:nvPicPr>
        <xdr:cNvPr id="2" name="图片 1" descr="熊茂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200150" y="9015730"/>
          <a:ext cx="697230" cy="429260"/>
        </a:xfrm>
        <a:prstGeom prst="rect">
          <a:avLst/>
        </a:prstGeom>
      </xdr:spPr>
    </xdr:pic>
    <xdr:clientData/>
  </xdr:twoCellAnchor>
  <xdr:twoCellAnchor editAs="oneCell">
    <xdr:from>
      <xdr:col>3</xdr:col>
      <xdr:colOff>642620</xdr:colOff>
      <xdr:row>22</xdr:row>
      <xdr:rowOff>0</xdr:rowOff>
    </xdr:from>
    <xdr:to>
      <xdr:col>5</xdr:col>
      <xdr:colOff>128905</xdr:colOff>
      <xdr:row>22</xdr:row>
      <xdr:rowOff>490220</xdr:rowOff>
    </xdr:to>
    <xdr:pic>
      <xdr:nvPicPr>
        <xdr:cNvPr id="3" name="图片 2" descr="邓志华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3128645" y="8985250"/>
          <a:ext cx="852805" cy="490220"/>
        </a:xfrm>
        <a:prstGeom prst="rect">
          <a:avLst/>
        </a:prstGeom>
      </xdr:spPr>
    </xdr:pic>
    <xdr:clientData/>
  </xdr:twoCellAnchor>
  <xdr:twoCellAnchor editAs="oneCell">
    <xdr:from>
      <xdr:col>6</xdr:col>
      <xdr:colOff>533400</xdr:colOff>
      <xdr:row>22</xdr:row>
      <xdr:rowOff>76200</xdr:rowOff>
    </xdr:from>
    <xdr:to>
      <xdr:col>7</xdr:col>
      <xdr:colOff>285750</xdr:colOff>
      <xdr:row>22</xdr:row>
      <xdr:rowOff>395605</xdr:rowOff>
    </xdr:to>
    <xdr:pic>
      <xdr:nvPicPr>
        <xdr:cNvPr id="4" name="图片 3" descr="吴雪琦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5071745" y="9061450"/>
          <a:ext cx="523875" cy="31940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0210523qkhl\&#20852;&#25991;&#24658;&#22266;&#26368;&#26032;&#36164;&#26009;-20200119\&#36130;&#21153;&#31649;&#29702;\&#25910;&#25903;&#26126;&#32454;&#3492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0210523qkhl\&#20852;&#25991;&#24658;&#22266;&#26368;&#26032;&#36164;&#26009;-20200119\&#25215;&#25509;&#19994;&#21153;\&#19994;&#21153;&#30331;&#35760;&#34920;&#65288;&#26032;&#65289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收入"/>
      <sheetName val="支出"/>
      <sheetName val="装修支出"/>
      <sheetName val="矿泉水支出"/>
      <sheetName val="出差支出"/>
      <sheetName val="账户收支结算"/>
      <sheetName val="支出明细表"/>
      <sheetName val="子目"/>
      <sheetName val="芯样收支明细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目录"/>
      <sheetName val="经济分析汇总表"/>
      <sheetName val="原始股本"/>
      <sheetName val="收款登记"/>
      <sheetName val="发票开具情况统计表"/>
      <sheetName val="支出明细表"/>
      <sheetName val="泸州对账汇总表 "/>
      <sheetName val="业务汇总表"/>
      <sheetName val="检测项目统计明细"/>
      <sheetName val="超链接台账"/>
      <sheetName val="送检单位信息"/>
      <sheetName val="辅助计算表"/>
      <sheetName val="其他费"/>
      <sheetName val="检测项目及标准 "/>
      <sheetName val="待开票信息"/>
      <sheetName val="样品流转单"/>
      <sheetName val="已出报告未付款统计表"/>
      <sheetName val="公司账户信息"/>
      <sheetName val="附表1、主体结构检测"/>
      <sheetName val="员工通讯录"/>
      <sheetName val="寄送地址"/>
      <sheetName val="检测价格表"/>
      <sheetName val="原始记录交泸州签字"/>
      <sheetName val="员工工资及保险"/>
      <sheetName val="欠费大哥明细"/>
      <sheetName val="邮寄费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XFC23"/>
  <sheetViews>
    <sheetView view="pageBreakPreview" zoomScaleNormal="100" workbookViewId="0">
      <selection activeCell="I20" sqref="I20"/>
    </sheetView>
  </sheetViews>
  <sheetFormatPr defaultColWidth="9" defaultRowHeight="13.5"/>
  <cols>
    <col min="1" max="1" width="14.625" style="2" customWidth="1"/>
    <col min="2" max="3" width="9" style="2"/>
    <col min="4" max="4" width="8.93333333333333" style="2" customWidth="1"/>
    <col min="5" max="6" width="9" style="2"/>
    <col min="7" max="7" width="10.125" style="2" customWidth="1"/>
    <col min="8" max="8" width="13" style="2" customWidth="1"/>
    <col min="9" max="9" width="13.875" style="2" customWidth="1"/>
    <col min="10" max="10" width="9" style="2"/>
    <col min="11" max="11" width="10.125" style="2"/>
    <col min="12" max="12" width="10.375" style="2"/>
    <col min="13" max="18" width="10.125" style="2"/>
    <col min="19" max="16378" width="9" style="2"/>
  </cols>
  <sheetData>
    <row r="1" s="1" customFormat="1" spans="1:16383">
      <c r="A1" s="3" t="s">
        <v>0</v>
      </c>
      <c r="B1" s="4" t="s">
        <v>1</v>
      </c>
      <c r="C1" s="5"/>
      <c r="D1" s="6"/>
      <c r="E1" s="7" t="s">
        <v>2</v>
      </c>
      <c r="F1" s="7"/>
      <c r="G1" s="7"/>
      <c r="H1" s="7"/>
      <c r="XEX1"/>
      <c r="XEY1"/>
      <c r="XEZ1"/>
      <c r="XFA1"/>
      <c r="XFB1"/>
      <c r="XFC1"/>
    </row>
    <row r="2" s="1" customFormat="1" spans="1:16383">
      <c r="A2" s="3"/>
      <c r="B2" s="4"/>
      <c r="C2" s="5"/>
      <c r="D2" s="8"/>
      <c r="E2" s="9" t="s">
        <v>3</v>
      </c>
      <c r="F2" s="10" t="s">
        <v>4</v>
      </c>
      <c r="G2" s="10"/>
      <c r="H2" s="10"/>
      <c r="XEX2"/>
      <c r="XEY2"/>
      <c r="XEZ2"/>
      <c r="XFA2"/>
      <c r="XFB2"/>
      <c r="XFC2"/>
    </row>
    <row r="3" s="1" customFormat="1" spans="1:16383">
      <c r="A3" s="11"/>
      <c r="B3" s="12"/>
      <c r="C3" s="12"/>
      <c r="D3" s="12"/>
      <c r="E3" s="13" t="s">
        <v>5</v>
      </c>
      <c r="F3" s="14" t="s">
        <v>6</v>
      </c>
      <c r="G3" s="14"/>
      <c r="H3" s="14"/>
      <c r="XEX3"/>
      <c r="XEY3"/>
      <c r="XEZ3"/>
      <c r="XFA3"/>
      <c r="XFB3"/>
      <c r="XFC3"/>
    </row>
    <row r="4" s="1" customFormat="1" ht="11" customHeight="1" spans="1:16383">
      <c r="A4" s="8"/>
      <c r="E4" s="15"/>
      <c r="F4" s="7"/>
      <c r="G4" s="7"/>
      <c r="H4" s="7"/>
      <c r="XEX4"/>
      <c r="XEY4"/>
      <c r="XEZ4"/>
      <c r="XFA4"/>
      <c r="XFB4"/>
      <c r="XFC4"/>
    </row>
    <row r="5" ht="26" customHeight="1" spans="1:9">
      <c r="A5" s="16" t="s">
        <v>7</v>
      </c>
      <c r="B5" s="16"/>
      <c r="C5" s="16"/>
      <c r="D5" s="16"/>
      <c r="E5" s="16"/>
      <c r="F5" s="16"/>
      <c r="G5" s="16"/>
      <c r="H5" s="16"/>
      <c r="I5" s="37" t="s">
        <v>8</v>
      </c>
    </row>
    <row r="6" s="1" customFormat="1" ht="35" customHeight="1" spans="1:8">
      <c r="A6" s="17" t="s">
        <v>9</v>
      </c>
      <c r="B6" s="18" t="s">
        <v>10</v>
      </c>
      <c r="C6" s="18"/>
      <c r="D6" s="18"/>
      <c r="E6" s="18"/>
      <c r="F6" s="18"/>
      <c r="G6" s="18"/>
      <c r="H6" s="18"/>
    </row>
    <row r="7" s="1" customFormat="1" ht="35" customHeight="1" spans="1:8">
      <c r="A7" s="17" t="s">
        <v>11</v>
      </c>
      <c r="B7" s="18" t="s">
        <v>12</v>
      </c>
      <c r="C7" s="18"/>
      <c r="D7" s="18"/>
      <c r="E7" s="18"/>
      <c r="F7" s="17" t="s">
        <v>13</v>
      </c>
      <c r="G7" s="17" t="s">
        <v>14</v>
      </c>
      <c r="H7" s="17"/>
    </row>
    <row r="8" s="1" customFormat="1" ht="35" customHeight="1" spans="1:18">
      <c r="A8" s="17" t="s">
        <v>15</v>
      </c>
      <c r="B8" s="18" t="s">
        <v>16</v>
      </c>
      <c r="C8" s="18"/>
      <c r="D8" s="18"/>
      <c r="E8" s="18"/>
      <c r="F8" s="17" t="s">
        <v>17</v>
      </c>
      <c r="G8" s="17" t="s">
        <v>18</v>
      </c>
      <c r="H8" s="17"/>
      <c r="K8" s="38"/>
      <c r="L8" s="38"/>
      <c r="M8" s="38"/>
      <c r="N8" s="38"/>
      <c r="O8" s="38"/>
      <c r="P8" s="38"/>
      <c r="Q8" s="38"/>
      <c r="R8" s="38"/>
    </row>
    <row r="9" s="1" customFormat="1" ht="35" customHeight="1" spans="1:18">
      <c r="A9" s="17" t="s">
        <v>19</v>
      </c>
      <c r="B9" s="18" t="s">
        <v>20</v>
      </c>
      <c r="C9" s="18"/>
      <c r="D9" s="18"/>
      <c r="E9" s="18"/>
      <c r="F9" s="17" t="s">
        <v>21</v>
      </c>
      <c r="G9" s="17" t="s">
        <v>22</v>
      </c>
      <c r="H9" s="17"/>
      <c r="K9" s="39"/>
      <c r="L9" s="40"/>
      <c r="M9" s="39"/>
      <c r="N9" s="39"/>
      <c r="O9" s="39"/>
      <c r="P9" s="39"/>
      <c r="Q9" s="39"/>
      <c r="R9" s="39"/>
    </row>
    <row r="10" s="1" customFormat="1" ht="35" customHeight="1" spans="1:12">
      <c r="A10" s="17" t="s">
        <v>23</v>
      </c>
      <c r="B10" s="18" t="s">
        <v>24</v>
      </c>
      <c r="C10" s="18"/>
      <c r="D10" s="18"/>
      <c r="E10" s="18"/>
      <c r="F10" s="17" t="s">
        <v>25</v>
      </c>
      <c r="G10" s="19">
        <v>44535</v>
      </c>
      <c r="H10" s="19"/>
      <c r="L10" s="1">
        <f>0.48*3-1</f>
        <v>0.44</v>
      </c>
    </row>
    <row r="11" s="1" customFormat="1" ht="35" customHeight="1" spans="1:12">
      <c r="A11" s="17" t="s">
        <v>26</v>
      </c>
      <c r="B11" s="18" t="s">
        <v>27</v>
      </c>
      <c r="C11" s="18"/>
      <c r="D11" s="18"/>
      <c r="E11" s="18"/>
      <c r="F11" s="17" t="s">
        <v>28</v>
      </c>
      <c r="G11" s="19">
        <v>44563</v>
      </c>
      <c r="H11" s="19"/>
      <c r="L11" s="1">
        <v>1.88</v>
      </c>
    </row>
    <row r="12" s="1" customFormat="1" ht="35" customHeight="1" spans="1:12">
      <c r="A12" s="17" t="s">
        <v>29</v>
      </c>
      <c r="B12" s="18" t="s">
        <v>30</v>
      </c>
      <c r="C12" s="18"/>
      <c r="D12" s="18"/>
      <c r="E12" s="18"/>
      <c r="F12" s="17" t="s">
        <v>31</v>
      </c>
      <c r="G12" s="19">
        <v>44563</v>
      </c>
      <c r="H12" s="19"/>
      <c r="L12" s="1">
        <f>L11-L10</f>
        <v>1.44</v>
      </c>
    </row>
    <row r="13" s="1" customFormat="1" ht="35" customHeight="1" spans="1:8">
      <c r="A13" s="17" t="s">
        <v>32</v>
      </c>
      <c r="B13" s="18" t="s">
        <v>33</v>
      </c>
      <c r="C13" s="18"/>
      <c r="D13" s="18"/>
      <c r="E13" s="18"/>
      <c r="F13" s="17" t="s">
        <v>34</v>
      </c>
      <c r="G13" s="19">
        <v>44565</v>
      </c>
      <c r="H13" s="19"/>
    </row>
    <row r="14" s="1" customFormat="1" ht="35" customHeight="1" spans="1:8">
      <c r="A14" s="17" t="s">
        <v>35</v>
      </c>
      <c r="B14" s="18" t="s">
        <v>36</v>
      </c>
      <c r="C14" s="18"/>
      <c r="D14" s="18"/>
      <c r="E14" s="18"/>
      <c r="F14" s="18"/>
      <c r="G14" s="18"/>
      <c r="H14" s="18"/>
    </row>
    <row r="15" s="1" customFormat="1" ht="35" customHeight="1" spans="1:8">
      <c r="A15" s="17" t="s">
        <v>37</v>
      </c>
      <c r="B15" s="18" t="s">
        <v>38</v>
      </c>
      <c r="C15" s="18"/>
      <c r="D15" s="18"/>
      <c r="E15" s="18"/>
      <c r="F15" s="18"/>
      <c r="G15" s="18"/>
      <c r="H15" s="18"/>
    </row>
    <row r="16" s="1" customFormat="1" ht="35" customHeight="1" spans="1:8">
      <c r="A16" s="17" t="s">
        <v>39</v>
      </c>
      <c r="B16" s="17" t="s">
        <v>40</v>
      </c>
      <c r="C16" s="17"/>
      <c r="D16" s="17"/>
      <c r="E16" s="17" t="s">
        <v>41</v>
      </c>
      <c r="F16" s="18" t="s">
        <v>42</v>
      </c>
      <c r="G16" s="17" t="s">
        <v>43</v>
      </c>
      <c r="H16" s="17"/>
    </row>
    <row r="17" s="1" customFormat="1" ht="35" customHeight="1" spans="1:8">
      <c r="A17" s="17">
        <v>1</v>
      </c>
      <c r="B17" s="17" t="s">
        <v>44</v>
      </c>
      <c r="C17" s="17"/>
      <c r="D17" s="17"/>
      <c r="E17" s="20">
        <v>303.8</v>
      </c>
      <c r="F17" s="20">
        <v>28.861</v>
      </c>
      <c r="G17" s="21">
        <v>29.0921666666667</v>
      </c>
      <c r="H17" s="22"/>
    </row>
    <row r="18" s="1" customFormat="1" ht="35" customHeight="1" spans="1:8">
      <c r="A18" s="17">
        <v>2</v>
      </c>
      <c r="B18" s="17" t="s">
        <v>44</v>
      </c>
      <c r="C18" s="17"/>
      <c r="D18" s="17"/>
      <c r="E18" s="20">
        <v>316.8</v>
      </c>
      <c r="F18" s="20">
        <v>30.096</v>
      </c>
      <c r="G18" s="23"/>
      <c r="H18" s="24"/>
    </row>
    <row r="19" s="1" customFormat="1" ht="35" customHeight="1" spans="1:8">
      <c r="A19" s="17">
        <v>3</v>
      </c>
      <c r="B19" s="17" t="s">
        <v>44</v>
      </c>
      <c r="C19" s="17"/>
      <c r="D19" s="17"/>
      <c r="E19" s="20">
        <v>298.1</v>
      </c>
      <c r="F19" s="20">
        <v>28.3195</v>
      </c>
      <c r="G19" s="25"/>
      <c r="H19" s="26"/>
    </row>
    <row r="20" s="1" customFormat="1" ht="35" customHeight="1" spans="1:8">
      <c r="A20" s="17" t="s">
        <v>45</v>
      </c>
      <c r="B20" s="18" t="s">
        <v>46</v>
      </c>
      <c r="C20" s="18"/>
      <c r="D20" s="18"/>
      <c r="E20" s="18"/>
      <c r="F20" s="18"/>
      <c r="G20" s="18"/>
      <c r="H20" s="18"/>
    </row>
    <row r="21" s="1" customFormat="1" ht="57" customHeight="1" spans="1:8">
      <c r="A21" s="27" t="s">
        <v>47</v>
      </c>
      <c r="B21" s="28" t="s">
        <v>48</v>
      </c>
      <c r="C21" s="29"/>
      <c r="D21" s="29"/>
      <c r="E21" s="29"/>
      <c r="F21" s="29"/>
      <c r="G21" s="29"/>
      <c r="H21" s="30"/>
    </row>
    <row r="22" s="1" customFormat="1" ht="48" customHeight="1" spans="1:8">
      <c r="A22" s="31"/>
      <c r="B22" s="32"/>
      <c r="C22" s="32"/>
      <c r="D22" s="32"/>
      <c r="E22" s="32"/>
      <c r="F22" s="32"/>
      <c r="G22" s="32"/>
      <c r="H22" s="32"/>
    </row>
    <row r="23" s="1" customFormat="1" ht="42" customHeight="1" spans="1:10">
      <c r="A23" s="33" t="s">
        <v>49</v>
      </c>
      <c r="B23" s="34"/>
      <c r="C23" s="34"/>
      <c r="D23" s="35" t="s">
        <v>50</v>
      </c>
      <c r="E23" s="35"/>
      <c r="F23" s="36"/>
      <c r="G23" s="36" t="s">
        <v>51</v>
      </c>
      <c r="H23" s="34"/>
      <c r="I23" s="34"/>
      <c r="J23" s="34"/>
    </row>
  </sheetData>
  <mergeCells count="32">
    <mergeCell ref="E1:H1"/>
    <mergeCell ref="F2:H2"/>
    <mergeCell ref="F3:H3"/>
    <mergeCell ref="A5:H5"/>
    <mergeCell ref="B6:H6"/>
    <mergeCell ref="B7:E7"/>
    <mergeCell ref="G7:H7"/>
    <mergeCell ref="B8:E8"/>
    <mergeCell ref="G8:H8"/>
    <mergeCell ref="B9:E9"/>
    <mergeCell ref="G9:H9"/>
    <mergeCell ref="B10:E10"/>
    <mergeCell ref="G10:H10"/>
    <mergeCell ref="B11:E11"/>
    <mergeCell ref="G11:H11"/>
    <mergeCell ref="B12:E12"/>
    <mergeCell ref="G12:H12"/>
    <mergeCell ref="B13:E13"/>
    <mergeCell ref="G13:H13"/>
    <mergeCell ref="B14:H14"/>
    <mergeCell ref="B15:H15"/>
    <mergeCell ref="B16:D16"/>
    <mergeCell ref="G16:H16"/>
    <mergeCell ref="B17:D17"/>
    <mergeCell ref="B18:D18"/>
    <mergeCell ref="B19:D19"/>
    <mergeCell ref="B20:H20"/>
    <mergeCell ref="B21:H21"/>
    <mergeCell ref="I23:J23"/>
    <mergeCell ref="A1:A2"/>
    <mergeCell ref="B1:C2"/>
    <mergeCell ref="G17:H19"/>
  </mergeCells>
  <hyperlinks>
    <hyperlink ref="I5" location="委托单!A1" display="返回委托单"/>
  </hyperlinks>
  <printOptions horizontalCentered="1"/>
  <pageMargins left="0.751388888888889" right="0.751388888888889" top="0.354166666666667" bottom="0.472222222222222" header="0.196527777777778" footer="0.275"/>
  <pageSetup paperSize="9" orientation="portrait" horizontalDpi="600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XFC23"/>
  <sheetViews>
    <sheetView tabSelected="1" view="pageBreakPreview" zoomScaleNormal="100" topLeftCell="A6" workbookViewId="0">
      <selection activeCell="P9" sqref="P9"/>
    </sheetView>
  </sheetViews>
  <sheetFormatPr defaultColWidth="9" defaultRowHeight="13.5"/>
  <cols>
    <col min="1" max="1" width="14.625" style="2" customWidth="1"/>
    <col min="2" max="3" width="9" style="2"/>
    <col min="4" max="4" width="8.93333333333333" style="2" customWidth="1"/>
    <col min="5" max="6" width="9" style="2"/>
    <col min="7" max="7" width="10.125" style="2" customWidth="1"/>
    <col min="8" max="8" width="13" style="2" customWidth="1"/>
    <col min="9" max="9" width="13.875" style="2" customWidth="1"/>
    <col min="10" max="10" width="9" style="2"/>
    <col min="11" max="11" width="10.125" style="2"/>
    <col min="12" max="12" width="10.375" style="2"/>
    <col min="13" max="18" width="10.125" style="2"/>
    <col min="19" max="16378" width="9" style="2"/>
  </cols>
  <sheetData>
    <row r="1" s="1" customFormat="1" spans="1:16383">
      <c r="A1" s="3" t="s">
        <v>0</v>
      </c>
      <c r="B1" s="4" t="s">
        <v>52</v>
      </c>
      <c r="C1" s="5"/>
      <c r="D1" s="6"/>
      <c r="E1" s="7" t="s">
        <v>2</v>
      </c>
      <c r="F1" s="7"/>
      <c r="G1" s="7"/>
      <c r="H1" s="7"/>
      <c r="XEX1"/>
      <c r="XEY1"/>
      <c r="XEZ1"/>
      <c r="XFA1"/>
      <c r="XFB1"/>
      <c r="XFC1"/>
    </row>
    <row r="2" s="1" customFormat="1" spans="1:16383">
      <c r="A2" s="3"/>
      <c r="B2" s="4"/>
      <c r="C2" s="5"/>
      <c r="D2" s="8"/>
      <c r="E2" s="9" t="s">
        <v>3</v>
      </c>
      <c r="F2" s="10" t="s">
        <v>4</v>
      </c>
      <c r="G2" s="10"/>
      <c r="H2" s="10"/>
      <c r="XEX2"/>
      <c r="XEY2"/>
      <c r="XEZ2"/>
      <c r="XFA2"/>
      <c r="XFB2"/>
      <c r="XFC2"/>
    </row>
    <row r="3" s="1" customFormat="1" spans="1:16383">
      <c r="A3" s="11"/>
      <c r="B3" s="12"/>
      <c r="C3" s="12"/>
      <c r="D3" s="12"/>
      <c r="E3" s="13" t="s">
        <v>5</v>
      </c>
      <c r="F3" s="14" t="s">
        <v>6</v>
      </c>
      <c r="G3" s="14"/>
      <c r="H3" s="14"/>
      <c r="XEX3"/>
      <c r="XEY3"/>
      <c r="XEZ3"/>
      <c r="XFA3"/>
      <c r="XFB3"/>
      <c r="XFC3"/>
    </row>
    <row r="4" s="1" customFormat="1" ht="11" customHeight="1" spans="1:16383">
      <c r="A4" s="8"/>
      <c r="E4" s="15"/>
      <c r="F4" s="7"/>
      <c r="G4" s="7"/>
      <c r="H4" s="7"/>
      <c r="XEX4"/>
      <c r="XEY4"/>
      <c r="XEZ4"/>
      <c r="XFA4"/>
      <c r="XFB4"/>
      <c r="XFC4"/>
    </row>
    <row r="5" ht="26" customHeight="1" spans="1:9">
      <c r="A5" s="16" t="s">
        <v>7</v>
      </c>
      <c r="B5" s="16"/>
      <c r="C5" s="16"/>
      <c r="D5" s="16"/>
      <c r="E5" s="16"/>
      <c r="F5" s="16"/>
      <c r="G5" s="16"/>
      <c r="H5" s="16"/>
      <c r="I5" s="37" t="s">
        <v>8</v>
      </c>
    </row>
    <row r="6" s="1" customFormat="1" ht="35" customHeight="1" spans="1:8">
      <c r="A6" s="17" t="s">
        <v>9</v>
      </c>
      <c r="B6" s="18" t="s">
        <v>10</v>
      </c>
      <c r="C6" s="18"/>
      <c r="D6" s="18"/>
      <c r="E6" s="18"/>
      <c r="F6" s="18"/>
      <c r="G6" s="18"/>
      <c r="H6" s="18"/>
    </row>
    <row r="7" s="1" customFormat="1" ht="35" customHeight="1" spans="1:8">
      <c r="A7" s="17" t="s">
        <v>11</v>
      </c>
      <c r="B7" s="18" t="s">
        <v>12</v>
      </c>
      <c r="C7" s="18"/>
      <c r="D7" s="18"/>
      <c r="E7" s="18"/>
      <c r="F7" s="17" t="s">
        <v>13</v>
      </c>
      <c r="G7" s="17" t="s">
        <v>14</v>
      </c>
      <c r="H7" s="17"/>
    </row>
    <row r="8" s="1" customFormat="1" ht="35" customHeight="1" spans="1:18">
      <c r="A8" s="17" t="s">
        <v>15</v>
      </c>
      <c r="B8" s="18" t="s">
        <v>16</v>
      </c>
      <c r="C8" s="18"/>
      <c r="D8" s="18"/>
      <c r="E8" s="18"/>
      <c r="F8" s="17" t="s">
        <v>17</v>
      </c>
      <c r="G8" s="17" t="s">
        <v>18</v>
      </c>
      <c r="H8" s="17"/>
      <c r="K8" s="38"/>
      <c r="L8" s="38"/>
      <c r="M8" s="38"/>
      <c r="N8" s="38"/>
      <c r="O8" s="38"/>
      <c r="P8" s="38"/>
      <c r="Q8" s="38"/>
      <c r="R8" s="38"/>
    </row>
    <row r="9" s="1" customFormat="1" ht="35" customHeight="1" spans="1:18">
      <c r="A9" s="17" t="s">
        <v>19</v>
      </c>
      <c r="B9" s="18" t="s">
        <v>20</v>
      </c>
      <c r="C9" s="18"/>
      <c r="D9" s="18"/>
      <c r="E9" s="18"/>
      <c r="F9" s="17" t="s">
        <v>21</v>
      </c>
      <c r="G9" s="17" t="s">
        <v>22</v>
      </c>
      <c r="H9" s="17"/>
      <c r="K9" s="39"/>
      <c r="L9" s="40"/>
      <c r="M9" s="39"/>
      <c r="N9" s="39"/>
      <c r="O9" s="39"/>
      <c r="P9" s="39"/>
      <c r="Q9" s="39"/>
      <c r="R9" s="39"/>
    </row>
    <row r="10" s="1" customFormat="1" ht="35" customHeight="1" spans="1:12">
      <c r="A10" s="17" t="s">
        <v>23</v>
      </c>
      <c r="B10" s="18" t="s">
        <v>53</v>
      </c>
      <c r="C10" s="18"/>
      <c r="D10" s="18"/>
      <c r="E10" s="18"/>
      <c r="F10" s="17" t="s">
        <v>25</v>
      </c>
      <c r="G10" s="19">
        <v>44532</v>
      </c>
      <c r="H10" s="19"/>
      <c r="L10" s="1">
        <f>0.48*3-1</f>
        <v>0.44</v>
      </c>
    </row>
    <row r="11" s="1" customFormat="1" ht="35" customHeight="1" spans="1:12">
      <c r="A11" s="17" t="s">
        <v>26</v>
      </c>
      <c r="B11" s="18" t="s">
        <v>27</v>
      </c>
      <c r="C11" s="18"/>
      <c r="D11" s="18"/>
      <c r="E11" s="18"/>
      <c r="F11" s="17" t="s">
        <v>28</v>
      </c>
      <c r="G11" s="19">
        <v>44560</v>
      </c>
      <c r="H11" s="19"/>
      <c r="L11" s="1">
        <v>1.88</v>
      </c>
    </row>
    <row r="12" s="1" customFormat="1" ht="35" customHeight="1" spans="1:12">
      <c r="A12" s="17" t="s">
        <v>29</v>
      </c>
      <c r="B12" s="18" t="s">
        <v>30</v>
      </c>
      <c r="C12" s="18"/>
      <c r="D12" s="18"/>
      <c r="E12" s="18"/>
      <c r="F12" s="17" t="s">
        <v>31</v>
      </c>
      <c r="G12" s="19">
        <v>44560</v>
      </c>
      <c r="H12" s="19"/>
      <c r="L12" s="1">
        <f>L11-L10</f>
        <v>1.44</v>
      </c>
    </row>
    <row r="13" s="1" customFormat="1" ht="35" customHeight="1" spans="1:8">
      <c r="A13" s="17" t="s">
        <v>32</v>
      </c>
      <c r="B13" s="18" t="s">
        <v>54</v>
      </c>
      <c r="C13" s="18"/>
      <c r="D13" s="18"/>
      <c r="E13" s="18"/>
      <c r="F13" s="17" t="s">
        <v>34</v>
      </c>
      <c r="G13" s="19">
        <v>44562</v>
      </c>
      <c r="H13" s="19"/>
    </row>
    <row r="14" s="1" customFormat="1" ht="35" customHeight="1" spans="1:8">
      <c r="A14" s="17" t="s">
        <v>35</v>
      </c>
      <c r="B14" s="18" t="s">
        <v>36</v>
      </c>
      <c r="C14" s="18"/>
      <c r="D14" s="18"/>
      <c r="E14" s="18"/>
      <c r="F14" s="18"/>
      <c r="G14" s="18"/>
      <c r="H14" s="18"/>
    </row>
    <row r="15" s="1" customFormat="1" ht="35" customHeight="1" spans="1:8">
      <c r="A15" s="17" t="s">
        <v>37</v>
      </c>
      <c r="B15" s="18" t="s">
        <v>38</v>
      </c>
      <c r="C15" s="18"/>
      <c r="D15" s="18"/>
      <c r="E15" s="18"/>
      <c r="F15" s="18"/>
      <c r="G15" s="18"/>
      <c r="H15" s="18"/>
    </row>
    <row r="16" s="1" customFormat="1" ht="35" customHeight="1" spans="1:8">
      <c r="A16" s="17" t="s">
        <v>39</v>
      </c>
      <c r="B16" s="17" t="s">
        <v>40</v>
      </c>
      <c r="C16" s="17"/>
      <c r="D16" s="17"/>
      <c r="E16" s="17" t="s">
        <v>41</v>
      </c>
      <c r="F16" s="18" t="s">
        <v>42</v>
      </c>
      <c r="G16" s="17" t="s">
        <v>43</v>
      </c>
      <c r="H16" s="17"/>
    </row>
    <row r="17" s="1" customFormat="1" ht="35" customHeight="1" spans="1:8">
      <c r="A17" s="17">
        <v>1</v>
      </c>
      <c r="B17" s="17" t="s">
        <v>44</v>
      </c>
      <c r="C17" s="17"/>
      <c r="D17" s="17"/>
      <c r="E17" s="20">
        <v>286.6</v>
      </c>
      <c r="F17" s="20">
        <v>27.227</v>
      </c>
      <c r="G17" s="21">
        <v>29.3043333333333</v>
      </c>
      <c r="H17" s="22"/>
    </row>
    <row r="18" s="1" customFormat="1" ht="35" customHeight="1" spans="1:8">
      <c r="A18" s="17">
        <v>2</v>
      </c>
      <c r="B18" s="17" t="s">
        <v>44</v>
      </c>
      <c r="C18" s="17"/>
      <c r="D18" s="17"/>
      <c r="E18" s="20">
        <v>325.1</v>
      </c>
      <c r="F18" s="20">
        <v>30.8845</v>
      </c>
      <c r="G18" s="23"/>
      <c r="H18" s="24"/>
    </row>
    <row r="19" s="1" customFormat="1" ht="35" customHeight="1" spans="1:8">
      <c r="A19" s="17">
        <v>3</v>
      </c>
      <c r="B19" s="17" t="s">
        <v>44</v>
      </c>
      <c r="C19" s="17"/>
      <c r="D19" s="17"/>
      <c r="E19" s="20">
        <v>313.7</v>
      </c>
      <c r="F19" s="20">
        <v>29.8015</v>
      </c>
      <c r="G19" s="25"/>
      <c r="H19" s="26"/>
    </row>
    <row r="20" s="1" customFormat="1" ht="35" customHeight="1" spans="1:8">
      <c r="A20" s="17" t="s">
        <v>45</v>
      </c>
      <c r="B20" s="18" t="s">
        <v>46</v>
      </c>
      <c r="C20" s="18"/>
      <c r="D20" s="18"/>
      <c r="E20" s="18"/>
      <c r="F20" s="18"/>
      <c r="G20" s="18"/>
      <c r="H20" s="18"/>
    </row>
    <row r="21" s="1" customFormat="1" ht="57" customHeight="1" spans="1:8">
      <c r="A21" s="27" t="s">
        <v>47</v>
      </c>
      <c r="B21" s="28" t="s">
        <v>48</v>
      </c>
      <c r="C21" s="29"/>
      <c r="D21" s="29"/>
      <c r="E21" s="29"/>
      <c r="F21" s="29"/>
      <c r="G21" s="29"/>
      <c r="H21" s="30"/>
    </row>
    <row r="22" s="1" customFormat="1" ht="48" customHeight="1" spans="1:8">
      <c r="A22" s="31"/>
      <c r="B22" s="32"/>
      <c r="C22" s="32"/>
      <c r="D22" s="32"/>
      <c r="E22" s="32"/>
      <c r="F22" s="32"/>
      <c r="G22" s="32"/>
      <c r="H22" s="32"/>
    </row>
    <row r="23" s="1" customFormat="1" ht="42" customHeight="1" spans="1:10">
      <c r="A23" s="33" t="s">
        <v>49</v>
      </c>
      <c r="B23" s="34"/>
      <c r="C23" s="34"/>
      <c r="D23" s="35" t="s">
        <v>50</v>
      </c>
      <c r="E23" s="35"/>
      <c r="F23" s="36"/>
      <c r="G23" s="36" t="s">
        <v>51</v>
      </c>
      <c r="H23" s="34"/>
      <c r="I23" s="34"/>
      <c r="J23" s="34"/>
    </row>
  </sheetData>
  <mergeCells count="32">
    <mergeCell ref="E1:H1"/>
    <mergeCell ref="F2:H2"/>
    <mergeCell ref="F3:H3"/>
    <mergeCell ref="A5:H5"/>
    <mergeCell ref="B6:H6"/>
    <mergeCell ref="B7:E7"/>
    <mergeCell ref="G7:H7"/>
    <mergeCell ref="B8:E8"/>
    <mergeCell ref="G8:H8"/>
    <mergeCell ref="B9:E9"/>
    <mergeCell ref="G9:H9"/>
    <mergeCell ref="B10:E10"/>
    <mergeCell ref="G10:H10"/>
    <mergeCell ref="B11:E11"/>
    <mergeCell ref="G11:H11"/>
    <mergeCell ref="B12:E12"/>
    <mergeCell ref="G12:H12"/>
    <mergeCell ref="B13:E13"/>
    <mergeCell ref="G13:H13"/>
    <mergeCell ref="B14:H14"/>
    <mergeCell ref="B15:H15"/>
    <mergeCell ref="B16:D16"/>
    <mergeCell ref="G16:H16"/>
    <mergeCell ref="B17:D17"/>
    <mergeCell ref="B18:D18"/>
    <mergeCell ref="B19:D19"/>
    <mergeCell ref="B20:H20"/>
    <mergeCell ref="B21:H21"/>
    <mergeCell ref="I23:J23"/>
    <mergeCell ref="A1:A2"/>
    <mergeCell ref="B1:C2"/>
    <mergeCell ref="G17:H19"/>
  </mergeCells>
  <hyperlinks>
    <hyperlink ref="I5" location="委托单!A1" display="返回委托单"/>
  </hyperlinks>
  <printOptions horizontalCentered="1"/>
  <pageMargins left="0.751388888888889" right="0.751388888888889" top="0.354166666666667" bottom="0.472222222222222" header="0.196527777777778" footer="0.275"/>
  <pageSetup paperSize="9" orientation="portrait" horizontalDpi="600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150201-2022000015</vt:lpstr>
      <vt:lpstr>150201-2021001857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d25h</cp:lastModifiedBy>
  <dcterms:created xsi:type="dcterms:W3CDTF">2021-06-22T09:08:00Z</dcterms:created>
  <dcterms:modified xsi:type="dcterms:W3CDTF">2022-01-04T01:32:16Z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0F1AEBB983C6490A81DF05025792BC74</vt:lpwstr>
  </property>
  <property fmtid="{D5CDD505-2E9C-101B-9397-08002B2CF9AE}" pid="3" name="KSOProductBuildVer">
    <vt:lpwstr>2052-11.1.0.11194</vt:lpwstr>
  </property>
</Properties>
</file>