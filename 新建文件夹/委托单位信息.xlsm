
<file path=[Content_Types].xml><?xml version="1.0" encoding="utf-8"?>
<Types xmlns="http://schemas.openxmlformats.org/package/2006/content-types">
  <Default Extension="vml" ContentType="application/vnd.openxmlformats-officedocument.vmlDrawing"/>
  <Default Extension="wmf" ContentType="image/x-wmf"/>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activeX/activeX2.bin" ContentType="application/vnd.ms-office.activeX"/>
  <Override PartName="/xl/activeX/activeX2.xml" ContentType="application/vnd.ms-office.activeX+xml"/>
  <Override PartName="/xl/drawings/drawing1.xml" ContentType="application/vnd.openxmlformats-officedocument.drawing+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xml" ContentType="application/vnd.openxmlformats-officedocument.spreadsheetml.worksheet+xml"/>
  <Override PartName="/xl/worksheets/sheet20.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2050" windowHeight="11310" tabRatio="827" firstSheet="12" activeTab="17"/>
  </bookViews>
  <sheets>
    <sheet name="目录" sheetId="22" r:id="rId1"/>
    <sheet name="委托单位信息" sheetId="1" r:id="rId2"/>
    <sheet name="钢筋原材检测" sheetId="5" r:id="rId3"/>
    <sheet name="钢筋机械连接检测" sheetId="16" r:id="rId4"/>
    <sheet name="钢筋焊接检测" sheetId="17" r:id="rId5"/>
    <sheet name="混凝土抗压检测" sheetId="3" r:id="rId6"/>
    <sheet name="砂浆抗压检测" sheetId="4" r:id="rId7"/>
    <sheet name="砂子检测" sheetId="6" r:id="rId8"/>
    <sheet name="碎石检测" sheetId="7" r:id="rId9"/>
    <sheet name="水泥检测" sheetId="15" r:id="rId10"/>
    <sheet name="混凝土配合比检测" sheetId="8" r:id="rId11"/>
    <sheet name="砂浆配合比检测" sheetId="9" r:id="rId12"/>
    <sheet name="砌体检测" sheetId="10" r:id="rId13"/>
    <sheet name="水工混凝土抗压检测" sheetId="18" r:id="rId14"/>
    <sheet name="水工混凝土配合比检测" sheetId="19" r:id="rId15"/>
    <sheet name="水工砂浆抗压检测" sheetId="20" r:id="rId16"/>
    <sheet name="水工砂浆配合比检测" sheetId="21" r:id="rId17"/>
    <sheet name="混凝土抗渗检测" sheetId="12" r:id="rId18"/>
    <sheet name="压实度检测" sheetId="13" r:id="rId19"/>
    <sheet name="沥青混合料检测" sheetId="14" r:id="rId20"/>
  </sheets>
  <externalReferences>
    <externalReference r:id="rId21"/>
    <externalReference r:id="rId22"/>
  </externalReferences>
  <definedNames>
    <definedName name="材料费">[1]子目!$O$4:$O$19</definedName>
    <definedName name="差旅费">[1]子目!$L$4:$L$19</definedName>
    <definedName name="地基基础检测">[2]辅助计算表!$N$3:$N$180</definedName>
    <definedName name="防水卷材">[2]辅助计算表!$R$3:$R$180</definedName>
    <definedName name="钢筋检测">[2]辅助计算表!$J$3:$J$180</definedName>
    <definedName name="钢筋接头检测">[2]辅助计算表!$K$3:$K$180</definedName>
    <definedName name="固定资产">[1]子目!$I$4:$I$19</definedName>
    <definedName name="管线检测">[2]辅助计算表!$Q$3:$Q$180</definedName>
    <definedName name="混凝土抗渗检测">[2]辅助计算表!$S$3:$S$180</definedName>
    <definedName name="混凝土抗压强度检测">[2]辅助计算表!$C$3:$C$180</definedName>
    <definedName name="混凝土配合比检测">[2]辅助计算表!$E$3:$E$180</definedName>
    <definedName name="检测类型">[2]辅助计算表!$C$2:$U$2</definedName>
    <definedName name="建筑节能检测">[2]辅助计算表!$P$3:$P$180</definedName>
    <definedName name="接待费">[1]子目!$M$4:$M$19</definedName>
    <definedName name="路基检测">[2]辅助计算表!$O$3:$O$180</definedName>
    <definedName name="砌体材料检测">[2]辅助计算表!$L$3:$L$181</definedName>
    <definedName name="人工费">[1]子目!$N$4:$N$19</definedName>
    <definedName name="砂浆抗压强度检测">[2]辅助计算表!$D$3:$D$180</definedName>
    <definedName name="砂浆配合比检测">[2]辅助计算表!$F$3:$F$180</definedName>
    <definedName name="砂料检测">[2]辅助计算表!$G$3:$G$180</definedName>
    <definedName name="实体检测">[2]辅助计算表!$M$3:$M$180</definedName>
    <definedName name="水泥检测">[2]辅助计算表!$I$3:$I$180</definedName>
    <definedName name="碎石检测">[2]辅助计算表!$H$3:$H$180</definedName>
    <definedName name="网费">[1]子目!$K$4:$K$19</definedName>
    <definedName name="维护费">[1]子目!$P$4:$P$19</definedName>
    <definedName name="项目类别">[1]子目!$I$3:$J$3</definedName>
    <definedName name="运营支出">[1]子目!$J$4:$J$190</definedName>
    <definedName name="_xlnm.Print_Area" localSheetId="4">钢筋焊接检测!$A$1:$I$36</definedName>
    <definedName name="_xlnm.Print_Area" localSheetId="2">钢筋原材检测!$A$1:$L$27</definedName>
  </definedNames>
  <calcPr calcId="144525"/>
</workbook>
</file>

<file path=xl/sharedStrings.xml><?xml version="1.0" encoding="utf-8"?>
<sst xmlns="http://schemas.openxmlformats.org/spreadsheetml/2006/main" count="988" uniqueCount="325">
  <si>
    <t>序号</t>
  </si>
  <si>
    <t>目录</t>
  </si>
  <si>
    <t>外表连接</t>
  </si>
  <si>
    <t>委托单位信息</t>
  </si>
  <si>
    <t>钢筋原材检测</t>
  </si>
  <si>
    <t>打开</t>
  </si>
  <si>
    <t>钢筋机械连接检测</t>
  </si>
  <si>
    <t>钢筋焊接检测</t>
  </si>
  <si>
    <t>混凝土抗压检测</t>
  </si>
  <si>
    <t>砂浆抗压检测</t>
  </si>
  <si>
    <t>砂子检测</t>
  </si>
  <si>
    <t>碎石检测</t>
  </si>
  <si>
    <t>水泥检测</t>
  </si>
  <si>
    <t>混凝土配合比检测</t>
  </si>
  <si>
    <t>砂浆配合比检测</t>
  </si>
  <si>
    <t>砌体检测</t>
  </si>
  <si>
    <t>混凝土抗渗检测</t>
  </si>
  <si>
    <t>压实度检测</t>
  </si>
  <si>
    <t>沥青混合料检测</t>
  </si>
  <si>
    <t>水工混凝土抗压检测</t>
  </si>
  <si>
    <t>水工混凝土配合比检测</t>
  </si>
  <si>
    <t>水工砂浆抗压检测</t>
  </si>
  <si>
    <t>水工砂浆配合比检测</t>
  </si>
  <si>
    <t>编号</t>
  </si>
  <si>
    <t>工程名称</t>
  </si>
  <si>
    <t>委托单位</t>
  </si>
  <si>
    <t>施工单位</t>
  </si>
  <si>
    <t>见证单位</t>
  </si>
  <si>
    <t>见证人</t>
  </si>
  <si>
    <t>见证人电话</t>
  </si>
  <si>
    <t>送检人</t>
  </si>
  <si>
    <t>送检人电话</t>
  </si>
  <si>
    <t>委托类型</t>
  </si>
  <si>
    <t>备注</t>
  </si>
  <si>
    <t>XW001</t>
  </si>
  <si>
    <t>青神县瑞峰镇中岩村1组德云寺滑坡地质灾害工程治理项目</t>
  </si>
  <si>
    <t>新疆地质工程有限公司</t>
  </si>
  <si>
    <t>武汉宏基建设工程监理有限公司</t>
  </si>
  <si>
    <t>吴坤林</t>
  </si>
  <si>
    <t>安广荣</t>
  </si>
  <si>
    <t>XW002</t>
  </si>
  <si>
    <t>芦山县太平镇大河村赵家坪后山崩塌治理工程清淤加固项目</t>
  </si>
  <si>
    <t>中新凯瑞工程咨询有限公司</t>
  </si>
  <si>
    <t>马建明</t>
  </si>
  <si>
    <t>耿盛林</t>
  </si>
  <si>
    <t>XW003</t>
  </si>
  <si>
    <t>芦山县大川镇三江村集中安置点老李沟泥石流治理工程清淤加固项目</t>
  </si>
  <si>
    <t>XW004</t>
  </si>
  <si>
    <t>芦山县大川镇小河村水坝子组泥石流治理工程清淤加固项目</t>
  </si>
  <si>
    <t>XW005</t>
  </si>
  <si>
    <t>芦山县太平镇春光村董家沟泥石流治理工程清淤加固项目</t>
  </si>
  <si>
    <t>XW006</t>
  </si>
  <si>
    <r>
      <rPr>
        <sz val="11"/>
        <color theme="1"/>
        <rFont val="宋体"/>
        <charset val="134"/>
        <scheme val="minor"/>
      </rPr>
      <t>芦山县大川镇小河村水坝子组泥石流等7处治理工程清淤加固项目(</t>
    </r>
    <r>
      <rPr>
        <sz val="9"/>
        <color theme="1"/>
        <rFont val="宋体"/>
        <charset val="134"/>
        <scheme val="minor"/>
      </rPr>
      <t>芦山县太平镇大河村赵家坪后山崩塌治理工程清淤加固项目、芦山县大川镇三江村集中安置点老李沟泥石流治理工程清淤加固项目、芦山县大川镇小河村水坝子组泥石流治理工程清淤加固项目、芦山县太平镇春光村董家沟泥石流治理工程清淤加固项目</t>
    </r>
    <r>
      <rPr>
        <sz val="11"/>
        <color theme="1"/>
        <rFont val="宋体"/>
        <charset val="134"/>
        <scheme val="minor"/>
      </rPr>
      <t>）</t>
    </r>
  </si>
  <si>
    <t>XW007</t>
  </si>
  <si>
    <t>宁209井区中心站综合值班用房及配套工程</t>
  </si>
  <si>
    <t>四川蜀渝石油建筑安装工程有限责任公司</t>
  </si>
  <si>
    <t>四川华成油气工程建设监理有限公司</t>
  </si>
  <si>
    <t>胡晓强</t>
  </si>
  <si>
    <t>邓茂桥</t>
  </si>
  <si>
    <t>XW008</t>
  </si>
  <si>
    <t>宜宾祥泰纸浆模塑环保餐具项目一期工程</t>
  </si>
  <si>
    <t>宜宾祥泰环保科技有限公司</t>
  </si>
  <si>
    <t>重庆必然工程建设有限公司</t>
  </si>
  <si>
    <t>贾三江</t>
  </si>
  <si>
    <t>魏波</t>
  </si>
  <si>
    <t>钢筋原材检测样品信息</t>
  </si>
  <si>
    <t>项目名称</t>
  </si>
  <si>
    <t>牌号
级别</t>
  </si>
  <si>
    <t>型号
规格</t>
  </si>
  <si>
    <t>直径</t>
  </si>
  <si>
    <t>生产厂家</t>
  </si>
  <si>
    <t>出厂
批号</t>
  </si>
  <si>
    <t>代表批量</t>
  </si>
  <si>
    <t>使用部位</t>
  </si>
  <si>
    <t>试件数量（组）</t>
  </si>
  <si>
    <t>检测编号</t>
  </si>
  <si>
    <t>送检日期</t>
  </si>
  <si>
    <t>HRB400E</t>
  </si>
  <si>
    <t>Φ10</t>
  </si>
  <si>
    <t>四川雅安安山钢铁有限公司</t>
  </si>
  <si>
    <t>60t</t>
  </si>
  <si>
    <t>桩板墙</t>
  </si>
  <si>
    <t>150101-2021000122</t>
  </si>
  <si>
    <t>返回目录</t>
  </si>
  <si>
    <t>Φ12</t>
  </si>
  <si>
    <t>成都市长峰钢铁集团有限公司</t>
  </si>
  <si>
    <t>B2011868</t>
  </si>
  <si>
    <t>150101-2021000123</t>
  </si>
  <si>
    <t>Φ14</t>
  </si>
  <si>
    <t>B20111045</t>
  </si>
  <si>
    <t>150101-2021000124</t>
  </si>
  <si>
    <t>Φ32</t>
  </si>
  <si>
    <t>新疆八一钢铁股份有限公司</t>
  </si>
  <si>
    <t>1810-0583</t>
  </si>
  <si>
    <t>150101-2021000125</t>
  </si>
  <si>
    <t>HPB300</t>
  </si>
  <si>
    <t>P1910599</t>
  </si>
  <si>
    <t>150101-2021000126</t>
  </si>
  <si>
    <t>钢筋机械连接接头检测样品信息</t>
  </si>
  <si>
    <t>牌号级别</t>
  </si>
  <si>
    <t>型号规格</t>
  </si>
  <si>
    <t>500个</t>
  </si>
  <si>
    <t>150105-2021000037</t>
  </si>
  <si>
    <t>钢筋焊接接头检测样品信息</t>
  </si>
  <si>
    <t>连接类别</t>
  </si>
  <si>
    <t>单面搭接焊</t>
  </si>
  <si>
    <t>300个</t>
  </si>
  <si>
    <t>150104-2021000061</t>
  </si>
  <si>
    <t>桩基础</t>
  </si>
  <si>
    <t>150104-2021000045</t>
  </si>
  <si>
    <t>混凝土抗压强度检测样品信息</t>
  </si>
  <si>
    <t>混凝土种类</t>
  </si>
  <si>
    <t>混凝土等级</t>
  </si>
  <si>
    <t>粗骨料最大粒径（㎜）</t>
  </si>
  <si>
    <t>成型日期</t>
  </si>
  <si>
    <t>送样数量（组）</t>
  </si>
  <si>
    <t>商品砼</t>
  </si>
  <si>
    <t>C20</t>
  </si>
  <si>
    <t>100×100×100</t>
  </si>
  <si>
    <t>RXI-100被动网C20砼基础</t>
  </si>
  <si>
    <r>
      <rPr>
        <sz val="11"/>
        <color theme="1"/>
        <rFont val="宋体"/>
        <charset val="134"/>
        <scheme val="minor"/>
      </rPr>
      <t>100m</t>
    </r>
    <r>
      <rPr>
        <vertAlign val="superscript"/>
        <sz val="11"/>
        <color theme="1"/>
        <rFont val="宋体"/>
        <charset val="134"/>
        <scheme val="minor"/>
      </rPr>
      <t>3</t>
    </r>
  </si>
  <si>
    <t>150201-2021000122</t>
  </si>
  <si>
    <t>左侧防护堤基础</t>
  </si>
  <si>
    <t>右侧防护堤基础</t>
  </si>
  <si>
    <t>1#A型防护堤C20砼基础</t>
  </si>
  <si>
    <t>1#D型防护堤C20砼基础</t>
  </si>
  <si>
    <t>1#B型防护堤C20砼基础</t>
  </si>
  <si>
    <t>2#A型防护堤C20砼基础</t>
  </si>
  <si>
    <t>2#D型防护堤C20砼基础</t>
  </si>
  <si>
    <t>3#C型防护堤C20砼基础</t>
  </si>
  <si>
    <t>2#上部桥处防护堤C20砼基础</t>
  </si>
  <si>
    <r>
      <rPr>
        <sz val="12"/>
        <color theme="1"/>
        <rFont val="宋体"/>
        <charset val="134"/>
      </rPr>
      <t>A、B</t>
    </r>
    <r>
      <rPr>
        <sz val="12"/>
        <color theme="1"/>
        <rFont val="宋体"/>
        <charset val="134"/>
      </rPr>
      <t>段对岸防护提C20砼基础</t>
    </r>
  </si>
  <si>
    <t>C30</t>
  </si>
  <si>
    <t>(倒班楼)桩号35</t>
  </si>
  <si>
    <r>
      <rPr>
        <sz val="11"/>
        <color theme="1"/>
        <rFont val="宋体"/>
        <charset val="134"/>
        <scheme val="minor"/>
      </rPr>
      <t>15m</t>
    </r>
    <r>
      <rPr>
        <vertAlign val="superscript"/>
        <sz val="11"/>
        <color theme="1"/>
        <rFont val="宋体"/>
        <charset val="134"/>
        <scheme val="minor"/>
      </rPr>
      <t>3</t>
    </r>
  </si>
  <si>
    <t>150201-2021000729</t>
  </si>
  <si>
    <t>(倒班楼)桩号37</t>
  </si>
  <si>
    <t>150201-2021000730</t>
  </si>
  <si>
    <t>(倒班楼)桩号38</t>
  </si>
  <si>
    <t>150201-2021000731</t>
  </si>
  <si>
    <t>(倒班楼)桩号11</t>
  </si>
  <si>
    <t>150201-2021000732</t>
  </si>
  <si>
    <t>(倒班楼)桩号9</t>
  </si>
  <si>
    <t>150201-2021000733</t>
  </si>
  <si>
    <t>(倒班楼)桩号10</t>
  </si>
  <si>
    <t>150201-2021000734</t>
  </si>
  <si>
    <t>（综合楼）桩号29</t>
  </si>
  <si>
    <t>150201-2021000735</t>
  </si>
  <si>
    <t>(倒班楼)桩号8</t>
  </si>
  <si>
    <t>150201-2021000736</t>
  </si>
  <si>
    <t>（综合楼）桩号1</t>
  </si>
  <si>
    <t>150201-2021000737</t>
  </si>
  <si>
    <t>（综合楼）桩号3</t>
  </si>
  <si>
    <t>150201-2021000738</t>
  </si>
  <si>
    <t>(倒班楼)桩号34</t>
  </si>
  <si>
    <t>150201-2021000739</t>
  </si>
  <si>
    <t>(倒班楼)桩号36</t>
  </si>
  <si>
    <t>150201-2021000740</t>
  </si>
  <si>
    <t>(倒班楼)桩号32</t>
  </si>
  <si>
    <t>150201-2021000741</t>
  </si>
  <si>
    <t>(倒班楼)桩号39</t>
  </si>
  <si>
    <t>150201-2021000742</t>
  </si>
  <si>
    <t>(倒班楼)桩号31</t>
  </si>
  <si>
    <t>150201-2021000743</t>
  </si>
  <si>
    <t>(倒班楼)桩号30</t>
  </si>
  <si>
    <t>150201-2021000744</t>
  </si>
  <si>
    <t>(倒班楼)桩号29</t>
  </si>
  <si>
    <t>150201-2021000745</t>
  </si>
  <si>
    <t>(倒班楼）桩号28</t>
  </si>
  <si>
    <t>150201-2021000752</t>
  </si>
  <si>
    <t>(倒班楼）桩号40</t>
  </si>
  <si>
    <t>150201-2021000753</t>
  </si>
  <si>
    <t>(倒班楼）桩号41</t>
  </si>
  <si>
    <t>150201-2021000754</t>
  </si>
  <si>
    <t>(倒班楼）桩号42</t>
  </si>
  <si>
    <t>150201-2021000755</t>
  </si>
  <si>
    <t>(倒班楼）桩号43</t>
  </si>
  <si>
    <t>150201-2021000756</t>
  </si>
  <si>
    <t>(倒班楼）桩号44</t>
  </si>
  <si>
    <t>150201-2021000757</t>
  </si>
  <si>
    <t>（综合楼）桩号30</t>
  </si>
  <si>
    <t>150201-2021000758</t>
  </si>
  <si>
    <t>（综合楼）桩号34</t>
  </si>
  <si>
    <t>150201-2021000759</t>
  </si>
  <si>
    <t>（综合楼）桩号42</t>
  </si>
  <si>
    <t>150201-2021000760</t>
  </si>
  <si>
    <t>（综合楼）桩号43</t>
  </si>
  <si>
    <t>150201-2021000761</t>
  </si>
  <si>
    <t>车间一</t>
  </si>
  <si>
    <t>150201-2021000767</t>
  </si>
  <si>
    <t>31轴-16轴承台</t>
  </si>
  <si>
    <t>150201-2021000768</t>
  </si>
  <si>
    <t>地梁</t>
  </si>
  <si>
    <t>150201-2021000769</t>
  </si>
  <si>
    <t>（综合楼）桩号4</t>
  </si>
  <si>
    <t>150201-2021000770</t>
  </si>
  <si>
    <t>（综合楼）桩号19</t>
  </si>
  <si>
    <t>150201-2021000771</t>
  </si>
  <si>
    <t>（综合楼）桩号37</t>
  </si>
  <si>
    <t>150201-2021000772</t>
  </si>
  <si>
    <t>（综合楼）桩号20</t>
  </si>
  <si>
    <t>150201-2021000773</t>
  </si>
  <si>
    <t>（综合楼）桩号6</t>
  </si>
  <si>
    <t>150201-2021000774</t>
  </si>
  <si>
    <t>（综合楼）桩号39</t>
  </si>
  <si>
    <t>150201-2021000775</t>
  </si>
  <si>
    <t>（综合楼）桩号32</t>
  </si>
  <si>
    <t>150201-2021000776</t>
  </si>
  <si>
    <t>（综合楼）桩号23</t>
  </si>
  <si>
    <t>150201-2021000777</t>
  </si>
  <si>
    <t>（综合楼）桩号13</t>
  </si>
  <si>
    <t>150201-2021000778</t>
  </si>
  <si>
    <t>（综合楼）桩号25</t>
  </si>
  <si>
    <t>150201-2021000779</t>
  </si>
  <si>
    <t>（综合楼）桩号18</t>
  </si>
  <si>
    <t>150201-2021000780</t>
  </si>
  <si>
    <t>砂浆抗压强度检测样品信息</t>
  </si>
  <si>
    <t>设计强度等级</t>
  </si>
  <si>
    <t>试件
规格（㎜）</t>
  </si>
  <si>
    <t>试件使用部位</t>
  </si>
  <si>
    <t>样品数量（组）</t>
  </si>
  <si>
    <t>M10</t>
  </si>
  <si>
    <r>
      <rPr>
        <sz val="11"/>
        <color theme="1"/>
        <rFont val="宋体"/>
        <charset val="134"/>
        <scheme val="minor"/>
      </rPr>
      <t>70.7</t>
    </r>
    <r>
      <rPr>
        <sz val="11"/>
        <color theme="1"/>
        <rFont val="Arial"/>
        <charset val="134"/>
      </rPr>
      <t>×</t>
    </r>
    <r>
      <rPr>
        <sz val="11"/>
        <color theme="1"/>
        <rFont val="宋体"/>
        <charset val="134"/>
        <scheme val="minor"/>
      </rPr>
      <t>70.7×70.7</t>
    </r>
  </si>
  <si>
    <t>1#A型防护堤基础M10浆砌块石</t>
  </si>
  <si>
    <r>
      <rPr>
        <sz val="11"/>
        <color theme="1"/>
        <rFont val="宋体"/>
        <charset val="134"/>
        <scheme val="minor"/>
      </rPr>
      <t>250m</t>
    </r>
    <r>
      <rPr>
        <vertAlign val="superscript"/>
        <sz val="11"/>
        <color theme="1"/>
        <rFont val="宋体"/>
        <charset val="134"/>
        <scheme val="minor"/>
      </rPr>
      <t>3</t>
    </r>
  </si>
  <si>
    <t>150301-2021000053</t>
  </si>
  <si>
    <t>1#D型防护堤基础M10浆砌块石</t>
  </si>
  <si>
    <t>1#B型防护堤基础M10浆砌块石</t>
  </si>
  <si>
    <t>2#A型防护堤基础M10浆砌块石</t>
  </si>
  <si>
    <t>2#D型防护堤基础M10浆砌块石</t>
  </si>
  <si>
    <t>3#C型防护堤基础M10浆砌块石</t>
  </si>
  <si>
    <t>部桥处防护堤基础M10浆砌块石</t>
  </si>
  <si>
    <r>
      <rPr>
        <sz val="12"/>
        <color theme="1"/>
        <rFont val="宋体"/>
        <charset val="134"/>
      </rPr>
      <t>B段对岸防护提基础浆砌块石（M10</t>
    </r>
    <r>
      <rPr>
        <sz val="12"/>
        <color theme="1"/>
        <rFont val="宋体"/>
        <charset val="134"/>
      </rPr>
      <t>）</t>
    </r>
  </si>
  <si>
    <t>砂子原材检测样品信息</t>
  </si>
  <si>
    <t>类型</t>
  </si>
  <si>
    <t>等级规格</t>
  </si>
  <si>
    <t>出厂日期</t>
  </si>
  <si>
    <t>出厂批号</t>
  </si>
  <si>
    <t>普通</t>
  </si>
  <si>
    <t>机制中砂</t>
  </si>
  <si>
    <t>芦山县大发砂石厂</t>
  </si>
  <si>
    <t>——</t>
  </si>
  <si>
    <t>600t</t>
  </si>
  <si>
    <t>150502-2021000013</t>
  </si>
  <si>
    <t>150502-2021000014</t>
  </si>
  <si>
    <t>石子原材检测样品信息</t>
  </si>
  <si>
    <t>碎石5-25mm</t>
  </si>
  <si>
    <t>150504-2021000011</t>
  </si>
  <si>
    <t>150504-2021000012</t>
  </si>
  <si>
    <t>水泥检测样品信息</t>
  </si>
  <si>
    <t>规格</t>
  </si>
  <si>
    <t>PO42.5</t>
  </si>
  <si>
    <t>眉山市峨通水泥有限公司</t>
  </si>
  <si>
    <t>B-014</t>
  </si>
  <si>
    <t>200t</t>
  </si>
  <si>
    <t>010601-2021000021</t>
  </si>
  <si>
    <t>PSA32.5R</t>
  </si>
  <si>
    <t>眉山峨兴水泥厂</t>
  </si>
  <si>
    <t>C-017</t>
  </si>
  <si>
    <t>010601-2021000022</t>
  </si>
  <si>
    <t>010601-2021000023</t>
  </si>
  <si>
    <t>M32.5</t>
  </si>
  <si>
    <t>四川省古蔺铁桥水泥有限责任公司</t>
  </si>
  <si>
    <t>2021-C5-8</t>
  </si>
  <si>
    <t>场内土质改良</t>
  </si>
  <si>
    <t>010601-2021000034</t>
  </si>
  <si>
    <t>010601-2021000035</t>
  </si>
  <si>
    <t>010601-2021000036</t>
  </si>
  <si>
    <t>2021-C7-4</t>
  </si>
  <si>
    <t>200T</t>
  </si>
  <si>
    <t>010601-2021000043</t>
  </si>
  <si>
    <t>2021-C7-6</t>
  </si>
  <si>
    <t>010601-2021000044</t>
  </si>
  <si>
    <t>010601-2021000045</t>
  </si>
  <si>
    <t>010601-2021000057</t>
  </si>
  <si>
    <t>010601-2021000058</t>
  </si>
  <si>
    <t>混凝土配合比检测样品信息</t>
  </si>
  <si>
    <t>品种</t>
  </si>
  <si>
    <t>水泥等级</t>
  </si>
  <si>
    <t>强度等级</t>
  </si>
  <si>
    <t>水泥</t>
  </si>
  <si>
    <t>细骨料</t>
  </si>
  <si>
    <t>粗骨料</t>
  </si>
  <si>
    <t>品种及强度等级</t>
  </si>
  <si>
    <t>批号</t>
  </si>
  <si>
    <t>出厂日期及批号</t>
  </si>
  <si>
    <t>产地</t>
  </si>
  <si>
    <t>种类</t>
  </si>
  <si>
    <t>普通砼</t>
  </si>
  <si>
    <t>010210-2021000075</t>
  </si>
  <si>
    <t>水泥砂浆</t>
  </si>
  <si>
    <t>32.5R</t>
  </si>
  <si>
    <t>010303-202100026</t>
  </si>
  <si>
    <t>砌体材料检测样品信息</t>
  </si>
  <si>
    <t>样品类型</t>
  </si>
  <si>
    <t>规格尺寸（mm）</t>
  </si>
  <si>
    <t>检测数量</t>
  </si>
  <si>
    <t>送样日期</t>
  </si>
  <si>
    <t>烧结普通砖</t>
  </si>
  <si>
    <t>混凝土抗渗检测样品信息</t>
  </si>
  <si>
    <t>砼种类</t>
  </si>
  <si>
    <t>设计等级</t>
  </si>
  <si>
    <t>强度</t>
  </si>
  <si>
    <t>抗渗等级</t>
  </si>
  <si>
    <t>试件规格（㎜）</t>
  </si>
  <si>
    <t>试件代表部位</t>
  </si>
  <si>
    <r>
      <rPr>
        <b/>
        <sz val="10.5"/>
        <color theme="1"/>
        <rFont val="宋体"/>
        <charset val="134"/>
      </rPr>
      <t>代表批量（m</t>
    </r>
    <r>
      <rPr>
        <b/>
        <vertAlign val="superscript"/>
        <sz val="10.5"/>
        <color theme="1"/>
        <rFont val="宋体"/>
        <charset val="134"/>
      </rPr>
      <t>3</t>
    </r>
    <r>
      <rPr>
        <b/>
        <sz val="10.5"/>
        <color theme="1"/>
        <rFont val="宋体"/>
        <charset val="134"/>
      </rPr>
      <t>)</t>
    </r>
  </si>
  <si>
    <t>标养编号</t>
  </si>
  <si>
    <t>P6  C30</t>
  </si>
  <si>
    <t>175×185×150</t>
  </si>
  <si>
    <t>压实度检测样品信息</t>
  </si>
  <si>
    <t>单位工程</t>
  </si>
  <si>
    <t>检测部位</t>
  </si>
  <si>
    <t>路段桩号</t>
  </si>
  <si>
    <t>土样名称</t>
  </si>
  <si>
    <t>压实面积</t>
  </si>
  <si>
    <t>压实度设计值</t>
  </si>
  <si>
    <t>最大干密度（g/cm3）</t>
  </si>
  <si>
    <t>委托日期/施工完成日期</t>
  </si>
  <si>
    <t>检测日期</t>
  </si>
  <si>
    <t>沥青混合料检测样品信息</t>
  </si>
  <si>
    <t>样品名称</t>
  </si>
  <si>
    <t>生产厂名</t>
  </si>
  <si>
    <t>摊铺层次</t>
  </si>
  <si>
    <t>工程部位</t>
  </si>
</sst>
</file>

<file path=xl/styles.xml><?xml version="1.0" encoding="utf-8"?>
<styleSheet xmlns="http://schemas.openxmlformats.org/spreadsheetml/2006/main">
  <numFmts count="7">
    <numFmt numFmtId="176" formatCode="yyyy/m/d;@"/>
    <numFmt numFmtId="43" formatCode="_ * #,##0.00_ ;_ * \-#,##0.00_ ;_ * &quot;-&quot;??_ ;_ @_ "/>
    <numFmt numFmtId="42" formatCode="_ &quot;￥&quot;* #,##0_ ;_ &quot;￥&quot;* \-#,##0_ ;_ &quot;￥&quot;* &quot;-&quot;_ ;_ @_ "/>
    <numFmt numFmtId="41" formatCode="_ * #,##0_ ;_ * \-#,##0_ ;_ * &quot;-&quot;_ ;_ @_ "/>
    <numFmt numFmtId="44" formatCode="_ &quot;￥&quot;* #,##0.00_ ;_ &quot;￥&quot;* \-#,##0.00_ ;_ &quot;￥&quot;* &quot;-&quot;??_ ;_ @_ "/>
    <numFmt numFmtId="177" formatCode="0&quot;mm&quot;"/>
    <numFmt numFmtId="178" formatCode="yyyy/mm/dd"/>
  </numFmts>
  <fonts count="34">
    <font>
      <sz val="11"/>
      <color theme="1"/>
      <name val="宋体"/>
      <charset val="134"/>
      <scheme val="minor"/>
    </font>
    <font>
      <b/>
      <sz val="11"/>
      <color theme="1"/>
      <name val="宋体"/>
      <charset val="134"/>
      <scheme val="minor"/>
    </font>
    <font>
      <b/>
      <sz val="16"/>
      <color theme="1"/>
      <name val="宋体"/>
      <charset val="134"/>
      <scheme val="minor"/>
    </font>
    <font>
      <u/>
      <sz val="11"/>
      <color rgb="FF800080"/>
      <name val="宋体"/>
      <charset val="0"/>
      <scheme val="minor"/>
    </font>
    <font>
      <u/>
      <sz val="11"/>
      <color rgb="FF0000FF"/>
      <name val="宋体"/>
      <charset val="0"/>
      <scheme val="minor"/>
    </font>
    <font>
      <b/>
      <sz val="10.5"/>
      <color theme="1"/>
      <name val="宋体"/>
      <charset val="134"/>
    </font>
    <font>
      <sz val="10.5"/>
      <color theme="1"/>
      <name val="宋体"/>
      <charset val="134"/>
    </font>
    <font>
      <b/>
      <sz val="14"/>
      <color theme="1"/>
      <name val="宋体"/>
      <charset val="134"/>
      <scheme val="minor"/>
    </font>
    <font>
      <sz val="9"/>
      <color theme="1"/>
      <name val="宋体"/>
      <charset val="134"/>
    </font>
    <font>
      <sz val="12"/>
      <color theme="1"/>
      <name val="宋体"/>
      <charset val="134"/>
    </font>
    <font>
      <sz val="11"/>
      <color theme="1"/>
      <name val="宋体"/>
      <charset val="134"/>
    </font>
    <font>
      <b/>
      <sz val="11"/>
      <color rgb="FF0000FF"/>
      <name val="宋体"/>
      <charset val="0"/>
      <scheme val="minor"/>
    </font>
    <font>
      <b/>
      <sz val="11"/>
      <color rgb="FF800080"/>
      <name val="宋体"/>
      <charset val="0"/>
      <scheme val="minor"/>
    </font>
    <font>
      <sz val="11"/>
      <color theme="0"/>
      <name val="宋体"/>
      <charset val="0"/>
      <scheme val="minor"/>
    </font>
    <font>
      <sz val="11"/>
      <color theme="1"/>
      <name val="宋体"/>
      <charset val="0"/>
      <scheme val="minor"/>
    </font>
    <font>
      <sz val="11"/>
      <color rgb="FF3F3F76"/>
      <name val="宋体"/>
      <charset val="0"/>
      <scheme val="minor"/>
    </font>
    <font>
      <sz val="11"/>
      <color rgb="FF006100"/>
      <name val="宋体"/>
      <charset val="0"/>
      <scheme val="minor"/>
    </font>
    <font>
      <sz val="11"/>
      <color rgb="FF9C0006"/>
      <name val="宋体"/>
      <charset val="0"/>
      <scheme val="minor"/>
    </font>
    <font>
      <b/>
      <sz val="11"/>
      <color rgb="FF3F3F3F"/>
      <name val="宋体"/>
      <charset val="0"/>
      <scheme val="minor"/>
    </font>
    <font>
      <b/>
      <sz val="11"/>
      <color theme="3"/>
      <name val="宋体"/>
      <charset val="134"/>
      <scheme val="minor"/>
    </font>
    <font>
      <sz val="11"/>
      <color rgb="FFFF0000"/>
      <name val="宋体"/>
      <charset val="0"/>
      <scheme val="minor"/>
    </font>
    <font>
      <b/>
      <sz val="13"/>
      <color theme="3"/>
      <name val="宋体"/>
      <charset val="134"/>
      <scheme val="minor"/>
    </font>
    <font>
      <b/>
      <sz val="18"/>
      <color theme="3"/>
      <name val="宋体"/>
      <charset val="134"/>
      <scheme val="minor"/>
    </font>
    <font>
      <i/>
      <sz val="11"/>
      <color rgb="FF7F7F7F"/>
      <name val="宋体"/>
      <charset val="0"/>
      <scheme val="minor"/>
    </font>
    <font>
      <b/>
      <sz val="11"/>
      <color theme="1"/>
      <name val="宋体"/>
      <charset val="0"/>
      <scheme val="minor"/>
    </font>
    <font>
      <b/>
      <sz val="15"/>
      <color theme="3"/>
      <name val="宋体"/>
      <charset val="134"/>
      <scheme val="minor"/>
    </font>
    <font>
      <sz val="11"/>
      <color rgb="FFFA7D00"/>
      <name val="宋体"/>
      <charset val="0"/>
      <scheme val="minor"/>
    </font>
    <font>
      <b/>
      <sz val="11"/>
      <color rgb="FFFA7D00"/>
      <name val="宋体"/>
      <charset val="0"/>
      <scheme val="minor"/>
    </font>
    <font>
      <b/>
      <sz val="11"/>
      <color rgb="FFFFFFFF"/>
      <name val="宋体"/>
      <charset val="0"/>
      <scheme val="minor"/>
    </font>
    <font>
      <sz val="11"/>
      <color rgb="FF9C6500"/>
      <name val="宋体"/>
      <charset val="0"/>
      <scheme val="minor"/>
    </font>
    <font>
      <b/>
      <vertAlign val="superscript"/>
      <sz val="10.5"/>
      <color theme="1"/>
      <name val="宋体"/>
      <charset val="134"/>
    </font>
    <font>
      <sz val="9"/>
      <color theme="1"/>
      <name val="宋体"/>
      <charset val="134"/>
      <scheme val="minor"/>
    </font>
    <font>
      <sz val="11"/>
      <color theme="1"/>
      <name val="Arial"/>
      <charset val="134"/>
    </font>
    <font>
      <vertAlign val="superscript"/>
      <sz val="11"/>
      <color theme="1"/>
      <name val="宋体"/>
      <charset val="134"/>
      <scheme val="minor"/>
    </font>
  </fonts>
  <fills count="34">
    <fill>
      <patternFill patternType="none"/>
    </fill>
    <fill>
      <patternFill patternType="gray125"/>
    </fill>
    <fill>
      <patternFill patternType="solid">
        <fgColor rgb="FF92D050"/>
        <bgColor indexed="64"/>
      </patternFill>
    </fill>
    <fill>
      <patternFill patternType="solid">
        <fgColor theme="9" tint="0.399975585192419"/>
        <bgColor indexed="64"/>
      </patternFill>
    </fill>
    <fill>
      <patternFill patternType="solid">
        <fgColor theme="9" tint="0.599993896298105"/>
        <bgColor indexed="64"/>
      </patternFill>
    </fill>
    <fill>
      <patternFill patternType="solid">
        <fgColor theme="7"/>
        <bgColor indexed="64"/>
      </patternFill>
    </fill>
    <fill>
      <patternFill patternType="solid">
        <fgColor theme="7" tint="0.599993896298105"/>
        <bgColor indexed="64"/>
      </patternFill>
    </fill>
    <fill>
      <patternFill patternType="solid">
        <fgColor theme="4" tint="0.799981688894314"/>
        <bgColor indexed="64"/>
      </patternFill>
    </fill>
    <fill>
      <patternFill patternType="solid">
        <fgColor rgb="FFFFCC99"/>
        <bgColor indexed="64"/>
      </patternFill>
    </fill>
    <fill>
      <patternFill patternType="solid">
        <fgColor theme="6" tint="0.799981688894314"/>
        <bgColor indexed="64"/>
      </patternFill>
    </fill>
    <fill>
      <patternFill patternType="solid">
        <fgColor rgb="FFC6EFCE"/>
        <bgColor indexed="64"/>
      </patternFill>
    </fill>
    <fill>
      <patternFill patternType="solid">
        <fgColor rgb="FFFFC7CE"/>
        <bgColor indexed="64"/>
      </patternFill>
    </fill>
    <fill>
      <patternFill patternType="solid">
        <fgColor theme="5"/>
        <bgColor indexed="64"/>
      </patternFill>
    </fill>
    <fill>
      <patternFill patternType="solid">
        <fgColor theme="6" tint="0.399975585192419"/>
        <bgColor indexed="64"/>
      </patternFill>
    </fill>
    <fill>
      <patternFill patternType="solid">
        <fgColor theme="6" tint="0.599993896298105"/>
        <bgColor indexed="64"/>
      </patternFill>
    </fill>
    <fill>
      <patternFill patternType="solid">
        <fgColor rgb="FFFFFFCC"/>
        <bgColor indexed="64"/>
      </patternFill>
    </fill>
    <fill>
      <patternFill patternType="solid">
        <fgColor theme="8" tint="0.799981688894314"/>
        <bgColor indexed="64"/>
      </patternFill>
    </fill>
    <fill>
      <patternFill patternType="solid">
        <fgColor theme="9" tint="0.799981688894314"/>
        <bgColor indexed="64"/>
      </patternFill>
    </fill>
    <fill>
      <patternFill patternType="solid">
        <fgColor theme="5" tint="0.399975585192419"/>
        <bgColor indexed="64"/>
      </patternFill>
    </fill>
    <fill>
      <patternFill patternType="solid">
        <fgColor rgb="FFF2F2F2"/>
        <bgColor indexed="64"/>
      </patternFill>
    </fill>
    <fill>
      <patternFill patternType="solid">
        <fgColor theme="4"/>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A5A5A5"/>
        <bgColor indexed="64"/>
      </patternFill>
    </fill>
    <fill>
      <patternFill patternType="solid">
        <fgColor rgb="FFFFEB9C"/>
        <bgColor indexed="64"/>
      </patternFill>
    </fill>
    <fill>
      <patternFill patternType="solid">
        <fgColor theme="4" tint="0.599993896298105"/>
        <bgColor indexed="64"/>
      </patternFill>
    </fill>
    <fill>
      <patternFill patternType="solid">
        <fgColor theme="8" tint="0.399975585192419"/>
        <bgColor indexed="64"/>
      </patternFill>
    </fill>
    <fill>
      <patternFill patternType="solid">
        <fgColor theme="5" tint="0.599993896298105"/>
        <bgColor indexed="64"/>
      </patternFill>
    </fill>
    <fill>
      <patternFill patternType="solid">
        <fgColor theme="5" tint="0.799981688894314"/>
        <bgColor indexed="64"/>
      </patternFill>
    </fill>
    <fill>
      <patternFill patternType="solid">
        <fgColor theme="6"/>
        <bgColor indexed="64"/>
      </patternFill>
    </fill>
    <fill>
      <patternFill patternType="solid">
        <fgColor theme="7" tint="0.799981688894314"/>
        <bgColor indexed="64"/>
      </patternFill>
    </fill>
    <fill>
      <patternFill patternType="solid">
        <fgColor theme="8"/>
        <bgColor indexed="64"/>
      </patternFill>
    </fill>
    <fill>
      <patternFill patternType="solid">
        <fgColor theme="8" tint="0.599993896298105"/>
        <bgColor indexed="64"/>
      </patternFill>
    </fill>
    <fill>
      <patternFill patternType="solid">
        <fgColor theme="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bottom style="medium">
        <color theme="4"/>
      </bottom>
      <diagonal/>
    </border>
    <border>
      <left/>
      <right/>
      <top style="thin">
        <color theme="4"/>
      </top>
      <bottom style="double">
        <color theme="4"/>
      </bottom>
      <diagonal/>
    </border>
    <border>
      <left/>
      <right/>
      <top/>
      <bottom style="double">
        <color rgb="FFFF8001"/>
      </bottom>
      <diagonal/>
    </border>
    <border>
      <left/>
      <right/>
      <top/>
      <bottom style="medium">
        <color theme="4" tint="0.499984740745262"/>
      </bottom>
      <diagonal/>
    </border>
    <border>
      <left style="double">
        <color rgb="FF3F3F3F"/>
      </left>
      <right style="double">
        <color rgb="FF3F3F3F"/>
      </right>
      <top style="double">
        <color rgb="FF3F3F3F"/>
      </top>
      <bottom style="double">
        <color rgb="FF3F3F3F"/>
      </bottom>
      <diagonal/>
    </border>
  </borders>
  <cellStyleXfs count="49">
    <xf numFmtId="0" fontId="0" fillId="0" borderId="0">
      <alignment vertical="center"/>
    </xf>
    <xf numFmtId="42" fontId="0" fillId="0" borderId="0" applyFont="0" applyFill="0" applyBorder="0" applyAlignment="0" applyProtection="0">
      <alignment vertical="center"/>
    </xf>
    <xf numFmtId="0" fontId="14" fillId="9" borderId="0" applyNumberFormat="0" applyBorder="0" applyAlignment="0" applyProtection="0">
      <alignment vertical="center"/>
    </xf>
    <xf numFmtId="0" fontId="15" fillId="8"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4" fillId="14" borderId="0" applyNumberFormat="0" applyBorder="0" applyAlignment="0" applyProtection="0">
      <alignment vertical="center"/>
    </xf>
    <xf numFmtId="0" fontId="17" fillId="11" borderId="0" applyNumberFormat="0" applyBorder="0" applyAlignment="0" applyProtection="0">
      <alignment vertical="center"/>
    </xf>
    <xf numFmtId="43" fontId="0" fillId="0" borderId="0" applyFont="0" applyFill="0" applyBorder="0" applyAlignment="0" applyProtection="0">
      <alignment vertical="center"/>
    </xf>
    <xf numFmtId="0" fontId="13" fillId="13" borderId="0" applyNumberFormat="0" applyBorder="0" applyAlignment="0" applyProtection="0">
      <alignment vertical="center"/>
    </xf>
    <xf numFmtId="0" fontId="4" fillId="0" borderId="0" applyNumberFormat="0" applyFill="0" applyBorder="0" applyAlignment="0" applyProtection="0">
      <alignment vertical="center"/>
    </xf>
    <xf numFmtId="9" fontId="0" fillId="0" borderId="0" applyFont="0" applyFill="0" applyBorder="0" applyAlignment="0" applyProtection="0">
      <alignment vertical="center"/>
    </xf>
    <xf numFmtId="0" fontId="3" fillId="0" borderId="0" applyNumberFormat="0" applyFill="0" applyBorder="0" applyAlignment="0" applyProtection="0">
      <alignment vertical="center"/>
    </xf>
    <xf numFmtId="0" fontId="0" fillId="15" borderId="2" applyNumberFormat="0" applyFont="0" applyAlignment="0" applyProtection="0">
      <alignment vertical="center"/>
    </xf>
    <xf numFmtId="0" fontId="13" fillId="18" borderId="0" applyNumberFormat="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5" fillId="0" borderId="4" applyNumberFormat="0" applyFill="0" applyAlignment="0" applyProtection="0">
      <alignment vertical="center"/>
    </xf>
    <xf numFmtId="0" fontId="21" fillId="0" borderId="4" applyNumberFormat="0" applyFill="0" applyAlignment="0" applyProtection="0">
      <alignment vertical="center"/>
    </xf>
    <xf numFmtId="0" fontId="13" fillId="21" borderId="0" applyNumberFormat="0" applyBorder="0" applyAlignment="0" applyProtection="0">
      <alignment vertical="center"/>
    </xf>
    <xf numFmtId="0" fontId="19" fillId="0" borderId="7" applyNumberFormat="0" applyFill="0" applyAlignment="0" applyProtection="0">
      <alignment vertical="center"/>
    </xf>
    <xf numFmtId="0" fontId="13" fillId="22" borderId="0" applyNumberFormat="0" applyBorder="0" applyAlignment="0" applyProtection="0">
      <alignment vertical="center"/>
    </xf>
    <xf numFmtId="0" fontId="18" fillId="19" borderId="3" applyNumberFormat="0" applyAlignment="0" applyProtection="0">
      <alignment vertical="center"/>
    </xf>
    <xf numFmtId="0" fontId="27" fillId="19" borderId="1" applyNumberFormat="0" applyAlignment="0" applyProtection="0">
      <alignment vertical="center"/>
    </xf>
    <xf numFmtId="0" fontId="28" fillId="23" borderId="8" applyNumberFormat="0" applyAlignment="0" applyProtection="0">
      <alignment vertical="center"/>
    </xf>
    <xf numFmtId="0" fontId="14" fillId="17" borderId="0" applyNumberFormat="0" applyBorder="0" applyAlignment="0" applyProtection="0">
      <alignment vertical="center"/>
    </xf>
    <xf numFmtId="0" fontId="13" fillId="12" borderId="0" applyNumberFormat="0" applyBorder="0" applyAlignment="0" applyProtection="0">
      <alignment vertical="center"/>
    </xf>
    <xf numFmtId="0" fontId="26" fillId="0" borderId="6" applyNumberFormat="0" applyFill="0" applyAlignment="0" applyProtection="0">
      <alignment vertical="center"/>
    </xf>
    <xf numFmtId="0" fontId="24" fillId="0" borderId="5" applyNumberFormat="0" applyFill="0" applyAlignment="0" applyProtection="0">
      <alignment vertical="center"/>
    </xf>
    <xf numFmtId="0" fontId="16" fillId="10" borderId="0" applyNumberFormat="0" applyBorder="0" applyAlignment="0" applyProtection="0">
      <alignment vertical="center"/>
    </xf>
    <xf numFmtId="0" fontId="29" fillId="24" borderId="0" applyNumberFormat="0" applyBorder="0" applyAlignment="0" applyProtection="0">
      <alignment vertical="center"/>
    </xf>
    <xf numFmtId="0" fontId="14" fillId="16" borderId="0" applyNumberFormat="0" applyBorder="0" applyAlignment="0" applyProtection="0">
      <alignment vertical="center"/>
    </xf>
    <xf numFmtId="0" fontId="13" fillId="20" borderId="0" applyNumberFormat="0" applyBorder="0" applyAlignment="0" applyProtection="0">
      <alignment vertical="center"/>
    </xf>
    <xf numFmtId="0" fontId="14" fillId="7" borderId="0" applyNumberFormat="0" applyBorder="0" applyAlignment="0" applyProtection="0">
      <alignment vertical="center"/>
    </xf>
    <xf numFmtId="0" fontId="14" fillId="25" borderId="0" applyNumberFormat="0" applyBorder="0" applyAlignment="0" applyProtection="0">
      <alignment vertical="center"/>
    </xf>
    <xf numFmtId="0" fontId="14" fillId="28" borderId="0" applyNumberFormat="0" applyBorder="0" applyAlignment="0" applyProtection="0">
      <alignment vertical="center"/>
    </xf>
    <xf numFmtId="0" fontId="14" fillId="27" borderId="0" applyNumberFormat="0" applyBorder="0" applyAlignment="0" applyProtection="0">
      <alignment vertical="center"/>
    </xf>
    <xf numFmtId="0" fontId="13" fillId="29" borderId="0" applyNumberFormat="0" applyBorder="0" applyAlignment="0" applyProtection="0">
      <alignment vertical="center"/>
    </xf>
    <xf numFmtId="0" fontId="13" fillId="5" borderId="0" applyNumberFormat="0" applyBorder="0" applyAlignment="0" applyProtection="0">
      <alignment vertical="center"/>
    </xf>
    <xf numFmtId="0" fontId="14" fillId="30" borderId="0" applyNumberFormat="0" applyBorder="0" applyAlignment="0" applyProtection="0">
      <alignment vertical="center"/>
    </xf>
    <xf numFmtId="0" fontId="14" fillId="6" borderId="0" applyNumberFormat="0" applyBorder="0" applyAlignment="0" applyProtection="0">
      <alignment vertical="center"/>
    </xf>
    <xf numFmtId="0" fontId="13" fillId="31" borderId="0" applyNumberFormat="0" applyBorder="0" applyAlignment="0" applyProtection="0">
      <alignment vertical="center"/>
    </xf>
    <xf numFmtId="0" fontId="14" fillId="32" borderId="0" applyNumberFormat="0" applyBorder="0" applyAlignment="0" applyProtection="0">
      <alignment vertical="center"/>
    </xf>
    <xf numFmtId="0" fontId="13" fillId="26" borderId="0" applyNumberFormat="0" applyBorder="0" applyAlignment="0" applyProtection="0">
      <alignment vertical="center"/>
    </xf>
    <xf numFmtId="0" fontId="13" fillId="33" borderId="0" applyNumberFormat="0" applyBorder="0" applyAlignment="0" applyProtection="0">
      <alignment vertical="center"/>
    </xf>
    <xf numFmtId="0" fontId="14" fillId="4" borderId="0" applyNumberFormat="0" applyBorder="0" applyAlignment="0" applyProtection="0">
      <alignment vertical="center"/>
    </xf>
    <xf numFmtId="0" fontId="13" fillId="3" borderId="0" applyNumberFormat="0" applyBorder="0" applyAlignment="0" applyProtection="0">
      <alignment vertical="center"/>
    </xf>
  </cellStyleXfs>
  <cellXfs count="54">
    <xf numFmtId="0" fontId="0" fillId="0" borderId="0" xfId="0">
      <alignment vertical="center"/>
    </xf>
    <xf numFmtId="0" fontId="1" fillId="0" borderId="0" xfId="0" applyFont="1">
      <alignment vertical="center"/>
    </xf>
    <xf numFmtId="0" fontId="2" fillId="0" borderId="0" xfId="0" applyFont="1" applyAlignment="1">
      <alignment horizontal="center" vertical="center"/>
    </xf>
    <xf numFmtId="0" fontId="1" fillId="0" borderId="0" xfId="0" applyFont="1" applyAlignment="1">
      <alignment horizontal="center" vertical="center"/>
    </xf>
    <xf numFmtId="0" fontId="1" fillId="0" borderId="0" xfId="0" applyFont="1" applyAlignment="1">
      <alignment horizontal="center" vertical="center" wrapText="1"/>
    </xf>
    <xf numFmtId="0" fontId="3" fillId="0" borderId="0" xfId="10" applyFont="1">
      <alignment vertical="center"/>
    </xf>
    <xf numFmtId="0" fontId="1" fillId="0" borderId="0" xfId="0" applyFont="1" applyAlignment="1">
      <alignment vertical="center" wrapText="1"/>
    </xf>
    <xf numFmtId="0" fontId="4" fillId="0" borderId="0" xfId="10">
      <alignment vertical="center"/>
    </xf>
    <xf numFmtId="0" fontId="0" fillId="0" borderId="0" xfId="0" applyFill="1">
      <alignment vertical="center"/>
    </xf>
    <xf numFmtId="0" fontId="5" fillId="0" borderId="0" xfId="0" applyFont="1" applyBorder="1" applyAlignment="1">
      <alignment horizontal="center" vertical="center" wrapText="1"/>
    </xf>
    <xf numFmtId="0" fontId="0" fillId="0" borderId="0" xfId="0" applyAlignment="1">
      <alignment horizontal="center" vertical="center" wrapText="1"/>
    </xf>
    <xf numFmtId="0" fontId="0" fillId="0" borderId="0" xfId="0" applyFont="1" applyAlignment="1">
      <alignment horizontal="center" vertical="center" wrapText="1"/>
    </xf>
    <xf numFmtId="0" fontId="6" fillId="0" borderId="0" xfId="0" applyFont="1" applyFill="1" applyBorder="1" applyAlignment="1">
      <alignment horizontal="center" vertical="center" wrapText="1"/>
    </xf>
    <xf numFmtId="0" fontId="1" fillId="0" borderId="0" xfId="0" applyFont="1" applyBorder="1" applyAlignment="1">
      <alignment horizontal="center" vertical="center"/>
    </xf>
    <xf numFmtId="14" fontId="6" fillId="0" borderId="0" xfId="0" applyNumberFormat="1" applyFont="1" applyFill="1" applyBorder="1" applyAlignment="1">
      <alignment horizontal="center" vertical="center" wrapText="1"/>
    </xf>
    <xf numFmtId="0" fontId="0" fillId="0" borderId="0" xfId="0" applyAlignment="1">
      <alignment horizontal="center" vertical="center"/>
    </xf>
    <xf numFmtId="0" fontId="7" fillId="0" borderId="0" xfId="0" applyFont="1" applyAlignment="1">
      <alignment horizontal="center" vertical="center"/>
    </xf>
    <xf numFmtId="0" fontId="5" fillId="0" borderId="0" xfId="0" applyFont="1" applyAlignment="1">
      <alignment horizontal="center" vertical="center"/>
    </xf>
    <xf numFmtId="0" fontId="5" fillId="0" borderId="0" xfId="0" applyFont="1" applyAlignment="1">
      <alignment horizontal="center" vertical="center" wrapText="1"/>
    </xf>
    <xf numFmtId="0" fontId="0" fillId="0" borderId="0" xfId="0" applyBorder="1" applyAlignment="1">
      <alignment horizontal="center" vertical="center"/>
    </xf>
    <xf numFmtId="176" fontId="0" fillId="0" borderId="0" xfId="0" applyNumberFormat="1" applyAlignment="1">
      <alignment horizontal="center" vertical="center"/>
    </xf>
    <xf numFmtId="0" fontId="1" fillId="0" borderId="0" xfId="0" applyNumberFormat="1" applyFont="1" applyAlignment="1">
      <alignment horizontal="center" vertical="center"/>
    </xf>
    <xf numFmtId="0" fontId="5" fillId="0" borderId="0" xfId="0" applyNumberFormat="1" applyFont="1" applyAlignment="1">
      <alignment horizontal="center" vertical="center"/>
    </xf>
    <xf numFmtId="176" fontId="0" fillId="0" borderId="0" xfId="0" applyNumberFormat="1" applyAlignment="1">
      <alignment horizontal="center" vertical="center" wrapText="1"/>
    </xf>
    <xf numFmtId="0" fontId="0" fillId="0" borderId="0" xfId="0" applyNumberFormat="1" applyAlignment="1">
      <alignment horizontal="center" vertical="center"/>
    </xf>
    <xf numFmtId="14" fontId="0" fillId="0" borderId="0" xfId="0" applyNumberFormat="1" applyAlignment="1">
      <alignment horizontal="center" vertical="center"/>
    </xf>
    <xf numFmtId="0" fontId="5" fillId="2" borderId="0" xfId="0" applyFont="1" applyFill="1" applyBorder="1" applyAlignment="1">
      <alignment horizontal="center" vertical="center" wrapText="1"/>
    </xf>
    <xf numFmtId="0" fontId="8" fillId="0" borderId="0" xfId="0" applyFont="1" applyBorder="1" applyAlignment="1">
      <alignment horizontal="center" vertical="center" wrapText="1"/>
    </xf>
    <xf numFmtId="0" fontId="6" fillId="0" borderId="0" xfId="0" applyFont="1" applyBorder="1" applyAlignment="1">
      <alignment horizontal="center" vertical="center" wrapText="1"/>
    </xf>
    <xf numFmtId="0" fontId="1" fillId="2" borderId="0" xfId="0" applyFont="1" applyFill="1" applyAlignment="1">
      <alignment horizontal="center" vertical="center"/>
    </xf>
    <xf numFmtId="0" fontId="5" fillId="0" borderId="0" xfId="0" applyFont="1" applyFill="1" applyBorder="1" applyAlignment="1">
      <alignment horizontal="center" vertical="center" wrapText="1"/>
    </xf>
    <xf numFmtId="0" fontId="1" fillId="0" borderId="0" xfId="0" applyFont="1" applyFill="1" applyAlignment="1">
      <alignment horizontal="center" vertical="center"/>
    </xf>
    <xf numFmtId="0" fontId="1" fillId="2" borderId="0" xfId="0" applyFont="1" applyFill="1" applyBorder="1" applyAlignment="1">
      <alignment horizontal="center" vertical="center" wrapText="1"/>
    </xf>
    <xf numFmtId="0" fontId="1" fillId="2" borderId="0" xfId="0" applyFont="1" applyFill="1" applyBorder="1" applyAlignment="1">
      <alignment horizontal="center" vertical="center"/>
    </xf>
    <xf numFmtId="0" fontId="1" fillId="0" borderId="0" xfId="0" applyFont="1" applyBorder="1" applyAlignment="1">
      <alignment horizontal="center" vertical="center" wrapText="1"/>
    </xf>
    <xf numFmtId="0" fontId="9" fillId="0" borderId="0" xfId="0" applyFont="1" applyAlignment="1">
      <alignment horizontal="center" vertical="center" wrapText="1"/>
    </xf>
    <xf numFmtId="0" fontId="0" fillId="0" borderId="0" xfId="0" applyFont="1" applyAlignment="1">
      <alignment horizontal="center" vertical="center"/>
    </xf>
    <xf numFmtId="0" fontId="9" fillId="0" borderId="0" xfId="0" applyFont="1" applyBorder="1" applyAlignment="1">
      <alignment horizontal="center" vertical="center" wrapText="1"/>
    </xf>
    <xf numFmtId="0" fontId="9" fillId="0" borderId="0" xfId="0" applyFont="1" applyBorder="1" applyAlignment="1">
      <alignment horizontal="center" vertical="center"/>
    </xf>
    <xf numFmtId="0" fontId="9" fillId="0" borderId="0" xfId="0" applyFont="1" applyBorder="1" applyAlignment="1">
      <alignment horizontal="center" vertical="top" wrapText="1"/>
    </xf>
    <xf numFmtId="0" fontId="9" fillId="0" borderId="0" xfId="0" applyFont="1" applyAlignment="1">
      <alignment horizontal="center" vertical="center"/>
    </xf>
    <xf numFmtId="14" fontId="0" fillId="0" borderId="0" xfId="0" applyNumberFormat="1" applyAlignment="1">
      <alignment horizontal="center" vertical="center" wrapText="1"/>
    </xf>
    <xf numFmtId="14" fontId="0" fillId="0" borderId="0" xfId="0" applyNumberFormat="1" applyFont="1" applyAlignment="1">
      <alignment horizontal="center" vertical="center" wrapText="1"/>
    </xf>
    <xf numFmtId="0" fontId="6" fillId="0" borderId="0" xfId="0" applyFont="1" applyAlignment="1">
      <alignment horizontal="center" vertical="center"/>
    </xf>
    <xf numFmtId="0" fontId="3" fillId="0" borderId="0" xfId="10" applyFont="1" applyAlignment="1">
      <alignment horizontal="center" vertical="center"/>
    </xf>
    <xf numFmtId="177" fontId="0" fillId="0" borderId="0" xfId="0" applyNumberFormat="1" applyAlignment="1">
      <alignment horizontal="center" vertical="center"/>
    </xf>
    <xf numFmtId="0" fontId="1" fillId="0" borderId="0" xfId="0" applyNumberFormat="1" applyFont="1" applyBorder="1" applyAlignment="1">
      <alignment horizontal="center" vertical="center" wrapText="1"/>
    </xf>
    <xf numFmtId="0" fontId="10" fillId="0" borderId="0" xfId="0" applyFont="1" applyBorder="1" applyAlignment="1">
      <alignment horizontal="center" vertical="center" wrapText="1"/>
    </xf>
    <xf numFmtId="0" fontId="0" fillId="0" borderId="0" xfId="0" applyFont="1" applyBorder="1" applyAlignment="1">
      <alignment horizontal="center" vertical="center"/>
    </xf>
    <xf numFmtId="178" fontId="0" fillId="0" borderId="0" xfId="0" applyNumberFormat="1" applyFont="1" applyAlignment="1">
      <alignment horizontal="center" vertical="center"/>
    </xf>
    <xf numFmtId="0" fontId="6" fillId="0" borderId="0" xfId="0" applyFont="1" applyAlignment="1">
      <alignment horizontal="justify" vertical="center"/>
    </xf>
    <xf numFmtId="0" fontId="11" fillId="0" borderId="0" xfId="10" applyFont="1" applyAlignment="1">
      <alignment horizontal="center" vertical="center"/>
    </xf>
    <xf numFmtId="0" fontId="12" fillId="0" borderId="0" xfId="10" applyFont="1" applyAlignment="1">
      <alignment horizontal="center" vertical="center"/>
    </xf>
    <xf numFmtId="0" fontId="4" fillId="0" borderId="0" xfId="10" applyAlignment="1">
      <alignment horizontal="center" vertical="center"/>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6" Type="http://schemas.microsoft.com/office/2006/relationships/vbaProject" Target="vbaProject.bin"/><Relationship Id="rId25" Type="http://schemas.openxmlformats.org/officeDocument/2006/relationships/sharedStrings" Target="sharedStrings.xml"/><Relationship Id="rId24" Type="http://schemas.openxmlformats.org/officeDocument/2006/relationships/styles" Target="styles.xml"/><Relationship Id="rId23" Type="http://schemas.openxmlformats.org/officeDocument/2006/relationships/theme" Target="theme/theme1.xml"/><Relationship Id="rId22" Type="http://schemas.openxmlformats.org/officeDocument/2006/relationships/externalLink" Target="externalLinks/externalLink2.xml"/><Relationship Id="rId21" Type="http://schemas.openxmlformats.org/officeDocument/2006/relationships/externalLink" Target="externalLinks/externalLink1.xml"/><Relationship Id="rId20" Type="http://schemas.openxmlformats.org/officeDocument/2006/relationships/worksheet" Target="worksheets/sheet20.xml"/><Relationship Id="rId2" Type="http://schemas.openxmlformats.org/officeDocument/2006/relationships/worksheet" Target="worksheets/sheet2.xml"/><Relationship Id="rId19" Type="http://schemas.openxmlformats.org/officeDocument/2006/relationships/worksheet" Target="worksheets/sheet19.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r:id="rId1" ax:persistence="persistStreamInit"/>
</file>

<file path=xl/activeX/activeX2.xml><?xml version="1.0" encoding="utf-8"?>
<ax:ocx xmlns:ax="http://schemas.microsoft.com/office/2006/activeX" xmlns:r="http://schemas.openxmlformats.org/officeDocument/2006/relationships" ax:classid="{D7053240-CE69-11CD-A777-00DD01143C57}" r:id="rId1" ax:persistence="persistStreamInit"/>
</file>

<file path=xl/drawings/_rels/vmlDrawing1.vml.rels><?xml version="1.0" encoding="UTF-8" standalone="yes"?>
<Relationships xmlns="http://schemas.openxmlformats.org/package/2006/relationships"><Relationship Id="rId2" Type="http://schemas.openxmlformats.org/officeDocument/2006/relationships/image" Target="../media/image2.wmf"/><Relationship Id="rId1" Type="http://schemas.openxmlformats.org/officeDocument/2006/relationships/image" Target="../media/image1.wmf"/></Relationships>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xdr:row>
          <xdr:rowOff>314325</xdr:rowOff>
        </xdr:from>
        <xdr:to>
          <xdr:col>4</xdr:col>
          <xdr:colOff>8890</xdr:colOff>
          <xdr:row>3</xdr:row>
          <xdr:rowOff>9525</xdr:rowOff>
        </xdr:to>
        <xdr:sp>
          <xdr:nvSpPr>
            <xdr:cNvPr id="2049" name="CommandButton1" hidden="1">
              <a:extLst>
                <a:ext uri="{63B3BB69-23CF-44E3-9099-C40C66FF867C}">
                  <a14:compatExt spid="_x0000_s2049"/>
                </a:ext>
              </a:extLst>
            </xdr:cNvPr>
            <xdr:cNvSpPr/>
          </xdr:nvSpPr>
          <xdr:spPr>
            <a:xfrm>
              <a:off x="4543425" y="609600"/>
              <a:ext cx="1609090" cy="32702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xdr:row>
          <xdr:rowOff>0</xdr:rowOff>
        </xdr:from>
        <xdr:to>
          <xdr:col>4</xdr:col>
          <xdr:colOff>9525</xdr:colOff>
          <xdr:row>1</xdr:row>
          <xdr:rowOff>285750</xdr:rowOff>
        </xdr:to>
        <xdr:sp>
          <xdr:nvSpPr>
            <xdr:cNvPr id="2050" name="CommandButton2" hidden="1">
              <a:extLst>
                <a:ext uri="{63B3BB69-23CF-44E3-9099-C40C66FF867C}">
                  <a14:compatExt spid="_x0000_s2050"/>
                </a:ext>
              </a:extLst>
            </xdr:cNvPr>
            <xdr:cNvSpPr/>
          </xdr:nvSpPr>
          <xdr:spPr>
            <a:xfrm>
              <a:off x="4533900" y="317500"/>
              <a:ext cx="1619250" cy="28575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Pc-20210523qkhl\&#20852;&#25991;&#24658;&#22266;&#26368;&#26032;&#36164;&#26009;-20200119\&#36130;&#21153;&#31649;&#29702;\&#25910;&#25903;&#26126;&#32454;&#3492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Pc-20210523qkhl\&#20852;&#25991;&#24658;&#22266;&#26368;&#26032;&#36164;&#26009;-20200119\&#25215;&#25509;&#19994;&#21153;\&#19994;&#21153;&#30331;&#35760;&#34920;&#65288;&#26032;&#65289;.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收入"/>
      <sheetName val="支出"/>
      <sheetName val="装修支出"/>
      <sheetName val="矿泉水支出"/>
      <sheetName val="出差支出"/>
      <sheetName val="账户收支结算"/>
      <sheetName val="支出明细表"/>
      <sheetName val="子目"/>
      <sheetName val="芯样收支明细"/>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目录"/>
      <sheetName val="经济分析汇总表"/>
      <sheetName val="原始股本"/>
      <sheetName val="收款登记"/>
      <sheetName val="发票开具情况统计表"/>
      <sheetName val="支出明细表"/>
      <sheetName val="泸州对账汇总表 "/>
      <sheetName val="业务汇总表"/>
      <sheetName val="检测项目统计明细"/>
      <sheetName val="超链接台账"/>
      <sheetName val="送检单位信息"/>
      <sheetName val="辅助计算表"/>
      <sheetName val="其他费"/>
      <sheetName val="检测项目及标准 "/>
      <sheetName val="待开票信息"/>
      <sheetName val="样品流转单"/>
      <sheetName val="已出报告未付款统计表"/>
      <sheetName val="公司账户信息"/>
      <sheetName val="附表1、主体结构检测"/>
      <sheetName val="员工通讯录"/>
      <sheetName val="寄送地址"/>
      <sheetName val="检测价格表"/>
      <sheetName val="原始记录交泸州签字"/>
      <sheetName val="员工工资及保险"/>
      <sheetName val="欠费大哥明细"/>
      <sheetName val="邮寄费"/>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9" Type="http://schemas.openxmlformats.org/officeDocument/2006/relationships/hyperlink" Target="&#38050;&#31563;&#28938;&#25509;&#26816;&#27979;.xlsm" TargetMode="External"/><Relationship Id="rId8" Type="http://schemas.openxmlformats.org/officeDocument/2006/relationships/hyperlink" Target="&#38050;&#31563;&#26426;&#26800;&#36830;&#25509;&#26816;&#27979;.xlsm" TargetMode="External"/><Relationship Id="rId7" Type="http://schemas.openxmlformats.org/officeDocument/2006/relationships/hyperlink" Target="&#38050;&#31563;&#21407;&#26448;&#26816;&#27979;.xlsm" TargetMode="External"/><Relationship Id="rId6" Type="http://schemas.openxmlformats.org/officeDocument/2006/relationships/image" Target="../media/image2.wmf"/><Relationship Id="rId5" Type="http://schemas.openxmlformats.org/officeDocument/2006/relationships/control" Target="../activeX/activeX2.xml"/><Relationship Id="rId4" Type="http://schemas.openxmlformats.org/officeDocument/2006/relationships/image" Target="../media/image1.wmf"/><Relationship Id="rId3" Type="http://schemas.openxmlformats.org/officeDocument/2006/relationships/control" Target="../activeX/activeX1.xml"/><Relationship Id="rId24" Type="http://schemas.openxmlformats.org/officeDocument/2006/relationships/hyperlink" Target="&#27700;&#24037;&#30722;&#27974;&#37197;&#21512;&#27604;&#26816;&#27979;.xlsm" TargetMode="External"/><Relationship Id="rId23" Type="http://schemas.openxmlformats.org/officeDocument/2006/relationships/hyperlink" Target="&#27700;&#24037;&#30722;&#27974;&#25239;&#21387;&#26816;&#27979;.xlsm" TargetMode="External"/><Relationship Id="rId22" Type="http://schemas.openxmlformats.org/officeDocument/2006/relationships/hyperlink" Target="&#27700;&#24037;&#28151;&#20957;&#22303;&#37197;&#21512;&#27604;&#26816;&#27979;.xlsm" TargetMode="External"/><Relationship Id="rId21" Type="http://schemas.openxmlformats.org/officeDocument/2006/relationships/hyperlink" Target="&#27700;&#24037;&#28151;&#20957;&#22303;&#25239;&#21387;&#26816;&#27979;.xlsm" TargetMode="External"/><Relationship Id="rId20" Type="http://schemas.openxmlformats.org/officeDocument/2006/relationships/hyperlink" Target="&#27813;&#38738;&#28151;&#21512;&#26009;&#26816;&#27979;.xlsm" TargetMode="External"/><Relationship Id="rId2" Type="http://schemas.openxmlformats.org/officeDocument/2006/relationships/vmlDrawing" Target="../drawings/vmlDrawing1.vml"/><Relationship Id="rId19" Type="http://schemas.openxmlformats.org/officeDocument/2006/relationships/hyperlink" Target="&#21387;&#23454;&#24230;&#26816;&#27979;.xlsm" TargetMode="External"/><Relationship Id="rId18" Type="http://schemas.openxmlformats.org/officeDocument/2006/relationships/hyperlink" Target="&#28151;&#20957;&#22303;&#25239;&#28183;&#26816;&#27979;.xlsm" TargetMode="External"/><Relationship Id="rId17" Type="http://schemas.openxmlformats.org/officeDocument/2006/relationships/hyperlink" Target="&#30732;&#20307;&#26816;&#27979;.xlsm" TargetMode="External"/><Relationship Id="rId16" Type="http://schemas.openxmlformats.org/officeDocument/2006/relationships/hyperlink" Target="&#30722;&#27974;&#37197;&#21512;&#27604;&#26816;&#27979;.xlsm" TargetMode="External"/><Relationship Id="rId15" Type="http://schemas.openxmlformats.org/officeDocument/2006/relationships/hyperlink" Target="&#28151;&#20957;&#22303;&#37197;&#21512;&#27604;&#26816;&#27979;.xlsm" TargetMode="External"/><Relationship Id="rId14" Type="http://schemas.openxmlformats.org/officeDocument/2006/relationships/hyperlink" Target="&#27700;&#27877;&#26816;&#27979;.xlsm" TargetMode="External"/><Relationship Id="rId13" Type="http://schemas.openxmlformats.org/officeDocument/2006/relationships/hyperlink" Target="&#30862;&#30707;&#26816;&#27979;.xlsm" TargetMode="External"/><Relationship Id="rId12" Type="http://schemas.openxmlformats.org/officeDocument/2006/relationships/hyperlink" Target="&#30722;&#23376;&#26816;&#27979;.xlsm" TargetMode="External"/><Relationship Id="rId11" Type="http://schemas.openxmlformats.org/officeDocument/2006/relationships/hyperlink" Target="&#30722;&#27974;&#25239;&#21387;&#26816;&#27979;.xlsm" TargetMode="External"/><Relationship Id="rId10" Type="http://schemas.openxmlformats.org/officeDocument/2006/relationships/hyperlink" Target="&#28151;&#20957;&#22303;&#25239;&#21387;&#26816;&#27979;.xlsm" TargetMode="Externa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hyperlink" Target="&#38050;&#31563;&#21407;&#26448;&#26816;&#27979;.xlsm" TargetMode="External"/></Relationships>
</file>

<file path=xl/worksheets/_rels/sheet5.xml.rels><?xml version="1.0" encoding="UTF-8" standalone="yes"?>
<Relationships xmlns="http://schemas.openxmlformats.org/package/2006/relationships"><Relationship Id="rId1" Type="http://schemas.openxmlformats.org/officeDocument/2006/relationships/hyperlink" Target="&#38050;&#31563;&#28938;&#25509;&#26816;&#27979;.xlsx"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0"/>
  <dimension ref="A1:C20"/>
  <sheetViews>
    <sheetView workbookViewId="0">
      <selection activeCell="D10" sqref="D10"/>
    </sheetView>
  </sheetViews>
  <sheetFormatPr defaultColWidth="9" defaultRowHeight="13.5" outlineLevelCol="2"/>
  <cols>
    <col min="1" max="1" width="18.25" customWidth="1"/>
    <col min="2" max="2" width="27.375" style="3" customWidth="1"/>
    <col min="3" max="3" width="13.875" customWidth="1"/>
    <col min="4" max="4" width="21.125" customWidth="1"/>
  </cols>
  <sheetData>
    <row r="1" s="1" customFormat="1" ht="25" customHeight="1" spans="1:3">
      <c r="A1" s="3" t="s">
        <v>0</v>
      </c>
      <c r="B1" s="3" t="s">
        <v>1</v>
      </c>
      <c r="C1" s="3" t="s">
        <v>2</v>
      </c>
    </row>
    <row r="2" ht="23" customHeight="1" spans="1:3">
      <c r="A2" s="15">
        <v>1</v>
      </c>
      <c r="B2" s="51" t="s">
        <v>3</v>
      </c>
      <c r="C2" s="15"/>
    </row>
    <row r="3" ht="25" customHeight="1" spans="1:3">
      <c r="A3" s="15">
        <v>2</v>
      </c>
      <c r="B3" s="52" t="s">
        <v>4</v>
      </c>
      <c r="C3" s="44" t="s">
        <v>5</v>
      </c>
    </row>
    <row r="4" ht="25" customHeight="1" spans="1:3">
      <c r="A4" s="15">
        <v>3</v>
      </c>
      <c r="B4" s="52" t="s">
        <v>6</v>
      </c>
      <c r="C4" s="53" t="s">
        <v>5</v>
      </c>
    </row>
    <row r="5" ht="25" customHeight="1" spans="1:3">
      <c r="A5" s="15">
        <v>4</v>
      </c>
      <c r="B5" s="52" t="s">
        <v>7</v>
      </c>
      <c r="C5" s="44" t="s">
        <v>5</v>
      </c>
    </row>
    <row r="6" ht="25" customHeight="1" spans="1:3">
      <c r="A6" s="15">
        <v>5</v>
      </c>
      <c r="B6" s="51" t="s">
        <v>8</v>
      </c>
      <c r="C6" s="44" t="s">
        <v>5</v>
      </c>
    </row>
    <row r="7" ht="25" customHeight="1" spans="1:3">
      <c r="A7" s="15">
        <v>6</v>
      </c>
      <c r="B7" s="51" t="s">
        <v>9</v>
      </c>
      <c r="C7" s="53" t="s">
        <v>5</v>
      </c>
    </row>
    <row r="8" ht="25" customHeight="1" spans="1:3">
      <c r="A8" s="15">
        <v>7</v>
      </c>
      <c r="B8" s="51" t="s">
        <v>10</v>
      </c>
      <c r="C8" s="53" t="s">
        <v>5</v>
      </c>
    </row>
    <row r="9" ht="25" customHeight="1" spans="1:3">
      <c r="A9" s="15">
        <v>8</v>
      </c>
      <c r="B9" s="51" t="s">
        <v>11</v>
      </c>
      <c r="C9" s="53" t="s">
        <v>5</v>
      </c>
    </row>
    <row r="10" ht="25" customHeight="1" spans="1:3">
      <c r="A10" s="15">
        <v>9</v>
      </c>
      <c r="B10" s="52" t="s">
        <v>12</v>
      </c>
      <c r="C10" s="44" t="s">
        <v>5</v>
      </c>
    </row>
    <row r="11" ht="25" customHeight="1" spans="1:3">
      <c r="A11" s="15">
        <v>10</v>
      </c>
      <c r="B11" s="51" t="s">
        <v>13</v>
      </c>
      <c r="C11" s="53" t="s">
        <v>5</v>
      </c>
    </row>
    <row r="12" ht="25" customHeight="1" spans="1:3">
      <c r="A12" s="15">
        <v>11</v>
      </c>
      <c r="B12" s="51" t="s">
        <v>14</v>
      </c>
      <c r="C12" s="53" t="s">
        <v>5</v>
      </c>
    </row>
    <row r="13" ht="25" customHeight="1" spans="1:3">
      <c r="A13" s="15">
        <v>12</v>
      </c>
      <c r="B13" s="51" t="s">
        <v>15</v>
      </c>
      <c r="C13" s="53" t="s">
        <v>5</v>
      </c>
    </row>
    <row r="14" ht="25" customHeight="1" spans="1:3">
      <c r="A14" s="15">
        <v>13</v>
      </c>
      <c r="B14" s="51" t="s">
        <v>16</v>
      </c>
      <c r="C14" s="53" t="s">
        <v>5</v>
      </c>
    </row>
    <row r="15" ht="25" customHeight="1" spans="1:3">
      <c r="A15" s="15">
        <v>14</v>
      </c>
      <c r="B15" s="51" t="s">
        <v>17</v>
      </c>
      <c r="C15" s="53" t="s">
        <v>5</v>
      </c>
    </row>
    <row r="16" ht="25" customHeight="1" spans="1:3">
      <c r="A16" s="15">
        <v>15</v>
      </c>
      <c r="B16" s="51" t="s">
        <v>18</v>
      </c>
      <c r="C16" s="53" t="s">
        <v>5</v>
      </c>
    </row>
    <row r="17" ht="25" customHeight="1" spans="1:3">
      <c r="A17" s="15">
        <v>16</v>
      </c>
      <c r="B17" s="51" t="s">
        <v>19</v>
      </c>
      <c r="C17" s="53" t="s">
        <v>5</v>
      </c>
    </row>
    <row r="18" ht="25" customHeight="1" spans="1:3">
      <c r="A18" s="15">
        <v>17</v>
      </c>
      <c r="B18" s="51" t="s">
        <v>20</v>
      </c>
      <c r="C18" s="53" t="s">
        <v>5</v>
      </c>
    </row>
    <row r="19" ht="25" customHeight="1" spans="1:3">
      <c r="A19" s="15">
        <v>18</v>
      </c>
      <c r="B19" s="51" t="s">
        <v>21</v>
      </c>
      <c r="C19" s="53" t="s">
        <v>5</v>
      </c>
    </row>
    <row r="20" ht="25" customHeight="1" spans="1:3">
      <c r="A20" s="15">
        <v>19</v>
      </c>
      <c r="B20" s="51" t="s">
        <v>22</v>
      </c>
      <c r="C20" s="53" t="s">
        <v>5</v>
      </c>
    </row>
  </sheetData>
  <hyperlinks>
    <hyperlink ref="B2" location="委托单位信息!A1" display="委托单位信息"/>
    <hyperlink ref="B3" location="钢筋原材检测!A1" display="钢筋原材检测"/>
    <hyperlink ref="B4" location="钢筋机械连接检测!A1" display="钢筋机械连接检测"/>
    <hyperlink ref="B5" location="钢筋焊接检测!A1" display="钢筋焊接检测"/>
    <hyperlink ref="B6" location="混凝土抗压检测!A1" display="混凝土抗压检测"/>
    <hyperlink ref="B7" location="砂浆抗压检测!A1" display="砂浆抗压检测"/>
    <hyperlink ref="B8" location="砂子检测!A1" display="砂子检测"/>
    <hyperlink ref="B9" location="碎石检测!A1" display="碎石检测"/>
    <hyperlink ref="B10" location="水泥检测!A1" display="水泥检测"/>
    <hyperlink ref="B11" location="混凝土配合比检测!A1" display="混凝土配合比检测"/>
    <hyperlink ref="B12" location="砂浆配合比检测!A1" display="砂浆配合比检测"/>
    <hyperlink ref="B13" location="砌体检测!A1" display="砌体检测"/>
    <hyperlink ref="B14" location="混凝土抗渗检测!A1" display="混凝土抗渗检测"/>
    <hyperlink ref="B15" location="压实度检测!A1" display="压实度检测"/>
    <hyperlink ref="B16" location="沥青混合料检测!A1" display="沥青混合料检测"/>
    <hyperlink ref="B17" location="水工混凝土抗压检测!A1" display="水工混凝土抗压检测"/>
    <hyperlink ref="B18" location="水工混凝土配合比检测!A1" display="水工混凝土配合比检测"/>
    <hyperlink ref="B19" location="水工砂浆抗压检测!A1" display="水工砂浆抗压检测"/>
    <hyperlink ref="B20" location="水工砂浆配合比检测!A1" display="水工砂浆配合比检测"/>
    <hyperlink ref="C3" r:id="rId7" display="打开"/>
    <hyperlink ref="C4" r:id="rId8" display="打开"/>
    <hyperlink ref="C5" r:id="rId9" display="打开"/>
    <hyperlink ref="C6" r:id="rId10" display="打开"/>
    <hyperlink ref="C7" r:id="rId11" display="打开"/>
    <hyperlink ref="C8" r:id="rId12" display="打开"/>
    <hyperlink ref="C9" r:id="rId13" display="打开"/>
    <hyperlink ref="C10" r:id="rId14" display="打开"/>
    <hyperlink ref="C11" r:id="rId15" display="打开"/>
    <hyperlink ref="C12" r:id="rId16" display="打开"/>
    <hyperlink ref="C13" r:id="rId17" display="打开"/>
    <hyperlink ref="C14" r:id="rId18" display="打开"/>
    <hyperlink ref="C15" r:id="rId19" display="打开"/>
    <hyperlink ref="C16" r:id="rId20" display="打开"/>
    <hyperlink ref="C17" r:id="rId21" display="打开"/>
    <hyperlink ref="C18" r:id="rId22" display="打开"/>
    <hyperlink ref="C19" r:id="rId23" display="打开"/>
    <hyperlink ref="C20" r:id="rId24" display="打开"/>
  </hyperlinks>
  <pageMargins left="0.75" right="0.75" top="1" bottom="1" header="0.5" footer="0.5"/>
  <headerFooter/>
  <drawing r:id="rId1"/>
  <legacyDrawing r:id="rId2"/>
  <controls>
    <mc:AlternateContent xmlns:mc="http://schemas.openxmlformats.org/markup-compatibility/2006">
      <mc:Choice Requires="x14">
        <control shapeId="2049" r:id="rId3" name="CommandButton1">
          <controlPr defaultSize="0" r:id="rId4">
            <anchor moveWithCells="1">
              <from>
                <xdr:col>3</xdr:col>
                <xdr:colOff>9525</xdr:colOff>
                <xdr:row>1</xdr:row>
                <xdr:rowOff>314325</xdr:rowOff>
              </from>
              <to>
                <xdr:col>4</xdr:col>
                <xdr:colOff>8890</xdr:colOff>
                <xdr:row>3</xdr:row>
                <xdr:rowOff>9525</xdr:rowOff>
              </to>
            </anchor>
          </controlPr>
        </control>
      </mc:Choice>
      <mc:Fallback>
        <control shapeId="2049" r:id="rId3" name="CommandButton1"/>
      </mc:Fallback>
    </mc:AlternateContent>
    <mc:AlternateContent xmlns:mc="http://schemas.openxmlformats.org/markup-compatibility/2006">
      <mc:Choice Requires="x14">
        <control shapeId="2050" r:id="rId5" name="CommandButton2">
          <controlPr defaultSize="0" r:id="rId6">
            <anchor moveWithCells="1">
              <from>
                <xdr:col>3</xdr:col>
                <xdr:colOff>0</xdr:colOff>
                <xdr:row>1</xdr:row>
                <xdr:rowOff>0</xdr:rowOff>
              </from>
              <to>
                <xdr:col>4</xdr:col>
                <xdr:colOff>9525</xdr:colOff>
                <xdr:row>1</xdr:row>
                <xdr:rowOff>285750</xdr:rowOff>
              </to>
            </anchor>
          </controlPr>
        </control>
      </mc:Choice>
      <mc:Fallback>
        <control shapeId="2050" r:id="rId5" name="CommandButton2"/>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K30"/>
  <sheetViews>
    <sheetView workbookViewId="0">
      <selection activeCell="C11" sqref="C11"/>
    </sheetView>
  </sheetViews>
  <sheetFormatPr defaultColWidth="9" defaultRowHeight="13.5"/>
  <cols>
    <col min="1" max="1" width="9" style="10"/>
    <col min="2" max="2" width="57.25" style="10" customWidth="1"/>
    <col min="3" max="3" width="21.5" style="10" customWidth="1"/>
    <col min="4" max="4" width="17.125" style="10" customWidth="1"/>
    <col min="5" max="5" width="27.375" style="10" customWidth="1"/>
    <col min="6" max="6" width="9" style="10"/>
    <col min="7" max="7" width="12.625" style="10"/>
    <col min="8" max="8" width="9" style="10"/>
    <col min="9" max="9" width="12.625" style="10"/>
    <col min="10" max="10" width="15.25" style="10" customWidth="1"/>
    <col min="11" max="16384" width="9" style="10"/>
  </cols>
  <sheetData>
    <row r="1" ht="30" customHeight="1" spans="1:11">
      <c r="A1" s="4" t="s">
        <v>3</v>
      </c>
      <c r="B1" s="4"/>
      <c r="C1" s="4"/>
      <c r="D1" s="4"/>
      <c r="E1" s="4"/>
      <c r="F1" s="4"/>
      <c r="G1" s="4"/>
      <c r="H1" s="4"/>
      <c r="I1" s="4"/>
      <c r="J1" s="4"/>
      <c r="K1" s="4"/>
    </row>
    <row r="2" s="4" customFormat="1" ht="25" customHeight="1" spans="1:11">
      <c r="A2" s="4" t="s">
        <v>23</v>
      </c>
      <c r="B2" s="4" t="s">
        <v>24</v>
      </c>
      <c r="C2" s="4" t="s">
        <v>25</v>
      </c>
      <c r="D2" s="4" t="s">
        <v>26</v>
      </c>
      <c r="E2" s="4" t="s">
        <v>27</v>
      </c>
      <c r="F2" s="4" t="s">
        <v>28</v>
      </c>
      <c r="G2" s="4" t="s">
        <v>29</v>
      </c>
      <c r="H2" s="4" t="s">
        <v>30</v>
      </c>
      <c r="I2" s="4" t="s">
        <v>31</v>
      </c>
      <c r="J2" s="4" t="s">
        <v>32</v>
      </c>
      <c r="K2" s="4" t="s">
        <v>33</v>
      </c>
    </row>
    <row r="3" ht="25" customHeight="1" spans="1:10">
      <c r="A3" s="10" t="s">
        <v>34</v>
      </c>
      <c r="B3" s="10" t="s">
        <v>35</v>
      </c>
      <c r="C3" s="10" t="s">
        <v>36</v>
      </c>
      <c r="D3" s="10" t="s">
        <v>36</v>
      </c>
      <c r="E3" s="10" t="s">
        <v>37</v>
      </c>
      <c r="F3" s="35" t="s">
        <v>38</v>
      </c>
      <c r="G3" s="10">
        <v>18228131927</v>
      </c>
      <c r="H3" s="10" t="s">
        <v>39</v>
      </c>
      <c r="I3" s="10">
        <v>17323288028</v>
      </c>
      <c r="J3" s="10" t="str">
        <f t="shared" ref="J3:J10" si="0">IF(F3&lt;&gt;"——","有见证取样送检","委托送样检测")</f>
        <v>有见证取样送检</v>
      </c>
    </row>
    <row r="4" ht="25" customHeight="1" spans="1:10">
      <c r="A4" s="10" t="s">
        <v>40</v>
      </c>
      <c r="B4" s="10" t="s">
        <v>41</v>
      </c>
      <c r="C4" s="10" t="s">
        <v>36</v>
      </c>
      <c r="D4" s="10" t="s">
        <v>36</v>
      </c>
      <c r="E4" s="40" t="s">
        <v>42</v>
      </c>
      <c r="F4" s="40" t="s">
        <v>43</v>
      </c>
      <c r="G4" s="40">
        <v>15884546766</v>
      </c>
      <c r="H4" s="40" t="s">
        <v>44</v>
      </c>
      <c r="I4" s="40">
        <v>18128131927</v>
      </c>
      <c r="J4" s="10" t="str">
        <f t="shared" si="0"/>
        <v>有见证取样送检</v>
      </c>
    </row>
    <row r="5" ht="25" customHeight="1" spans="1:10">
      <c r="A5" s="10" t="s">
        <v>45</v>
      </c>
      <c r="B5" s="40" t="s">
        <v>46</v>
      </c>
      <c r="C5" s="10" t="s">
        <v>36</v>
      </c>
      <c r="D5" s="10" t="s">
        <v>36</v>
      </c>
      <c r="E5" s="40" t="s">
        <v>42</v>
      </c>
      <c r="F5" s="40" t="s">
        <v>43</v>
      </c>
      <c r="G5" s="40">
        <v>15884546766</v>
      </c>
      <c r="H5" s="40" t="s">
        <v>44</v>
      </c>
      <c r="I5" s="40">
        <v>18128131927</v>
      </c>
      <c r="J5" s="10" t="str">
        <f t="shared" si="0"/>
        <v>有见证取样送检</v>
      </c>
    </row>
    <row r="6" ht="25" customHeight="1" spans="1:10">
      <c r="A6" s="10" t="s">
        <v>47</v>
      </c>
      <c r="B6" s="40" t="s">
        <v>48</v>
      </c>
      <c r="C6" s="10" t="s">
        <v>36</v>
      </c>
      <c r="D6" s="10" t="s">
        <v>36</v>
      </c>
      <c r="E6" s="40" t="s">
        <v>42</v>
      </c>
      <c r="F6" s="40" t="s">
        <v>43</v>
      </c>
      <c r="G6" s="40">
        <v>15884546766</v>
      </c>
      <c r="H6" s="40" t="s">
        <v>44</v>
      </c>
      <c r="I6" s="40">
        <v>18128131927</v>
      </c>
      <c r="J6" s="10" t="str">
        <f t="shared" si="0"/>
        <v>有见证取样送检</v>
      </c>
    </row>
    <row r="7" ht="25" customHeight="1" spans="1:10">
      <c r="A7" s="10" t="s">
        <v>49</v>
      </c>
      <c r="B7" s="40" t="s">
        <v>50</v>
      </c>
      <c r="C7" s="10" t="s">
        <v>36</v>
      </c>
      <c r="D7" s="10" t="s">
        <v>36</v>
      </c>
      <c r="E7" s="40" t="s">
        <v>42</v>
      </c>
      <c r="F7" s="40" t="s">
        <v>43</v>
      </c>
      <c r="G7" s="40">
        <v>15884546766</v>
      </c>
      <c r="H7" s="40" t="s">
        <v>44</v>
      </c>
      <c r="I7" s="40">
        <v>18128131927</v>
      </c>
      <c r="J7" s="10" t="str">
        <f t="shared" si="0"/>
        <v>有见证取样送检</v>
      </c>
    </row>
    <row r="8" ht="25" customHeight="1" spans="1:10">
      <c r="A8" s="10" t="s">
        <v>51</v>
      </c>
      <c r="B8" s="11" t="s">
        <v>52</v>
      </c>
      <c r="C8" s="10" t="s">
        <v>36</v>
      </c>
      <c r="D8" s="10" t="s">
        <v>36</v>
      </c>
      <c r="E8" s="40" t="s">
        <v>42</v>
      </c>
      <c r="F8" s="40" t="s">
        <v>43</v>
      </c>
      <c r="G8" s="40">
        <v>15884546766</v>
      </c>
      <c r="H8" s="40" t="s">
        <v>44</v>
      </c>
      <c r="I8" s="40">
        <v>18128131927</v>
      </c>
      <c r="J8" s="10" t="str">
        <f t="shared" si="0"/>
        <v>有见证取样送检</v>
      </c>
    </row>
    <row r="9" ht="25" customHeight="1" spans="1:10">
      <c r="A9" s="10" t="s">
        <v>53</v>
      </c>
      <c r="B9" s="15" t="s">
        <v>54</v>
      </c>
      <c r="C9" s="15" t="s">
        <v>55</v>
      </c>
      <c r="D9" s="15" t="s">
        <v>55</v>
      </c>
      <c r="E9" s="15" t="s">
        <v>56</v>
      </c>
      <c r="F9" s="15" t="s">
        <v>57</v>
      </c>
      <c r="G9" s="15">
        <v>15288669020</v>
      </c>
      <c r="H9" s="15" t="s">
        <v>58</v>
      </c>
      <c r="I9" s="50">
        <v>18182238027</v>
      </c>
      <c r="J9" s="10" t="str">
        <f t="shared" si="0"/>
        <v>有见证取样送检</v>
      </c>
    </row>
    <row r="10" ht="25" customHeight="1" spans="1:10">
      <c r="A10" s="10" t="s">
        <v>59</v>
      </c>
      <c r="B10" s="11" t="s">
        <v>60</v>
      </c>
      <c r="C10" s="10" t="s">
        <v>61</v>
      </c>
      <c r="D10" s="10" t="s">
        <v>61</v>
      </c>
      <c r="E10" s="10" t="s">
        <v>62</v>
      </c>
      <c r="F10" s="10" t="s">
        <v>63</v>
      </c>
      <c r="G10" s="10">
        <v>18608243803</v>
      </c>
      <c r="H10" s="10" t="s">
        <v>64</v>
      </c>
      <c r="I10" s="10">
        <v>15884240073</v>
      </c>
      <c r="J10" s="10" t="str">
        <f t="shared" si="0"/>
        <v>有见证取样送检</v>
      </c>
    </row>
    <row r="11" ht="25" customHeight="1"/>
    <row r="12" ht="25" customHeight="1"/>
    <row r="13" ht="25" customHeight="1"/>
    <row r="14" ht="25" customHeight="1"/>
    <row r="15" ht="25" customHeight="1"/>
    <row r="16" ht="25" customHeight="1"/>
    <row r="17" ht="25" customHeight="1"/>
    <row r="18" ht="25" customHeight="1"/>
    <row r="19" ht="25" customHeight="1"/>
    <row r="20" ht="25" customHeight="1"/>
    <row r="21" ht="25" customHeight="1"/>
    <row r="22" ht="25" customHeight="1"/>
    <row r="23" ht="25" customHeight="1"/>
    <row r="24" ht="25" customHeight="1"/>
    <row r="25" ht="25" customHeight="1"/>
    <row r="26" ht="25" customHeight="1"/>
    <row r="27" ht="25" customHeight="1"/>
    <row r="28" ht="25" customHeight="1"/>
    <row r="29" ht="25" customHeight="1"/>
    <row r="30" ht="25" customHeight="1"/>
  </sheetData>
  <mergeCells count="1">
    <mergeCell ref="A1:K1"/>
  </mergeCells>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tabColor rgb="FF92D050"/>
  </sheetPr>
  <dimension ref="A1:M27"/>
  <sheetViews>
    <sheetView view="pageBreakPreview" zoomScaleNormal="100" workbookViewId="0">
      <selection activeCell="M3" sqref="M3"/>
    </sheetView>
  </sheetViews>
  <sheetFormatPr defaultColWidth="9" defaultRowHeight="13.5"/>
  <cols>
    <col min="2" max="2" width="31.5" customWidth="1"/>
    <col min="6" max="6" width="26.25" customWidth="1"/>
    <col min="7" max="7" width="11.125" customWidth="1"/>
    <col min="9" max="9" width="10" customWidth="1"/>
    <col min="11" max="11" width="19.5" customWidth="1"/>
    <col min="12" max="12" width="14" customWidth="1"/>
    <col min="13" max="13" width="14.75" customWidth="1"/>
  </cols>
  <sheetData>
    <row r="1" ht="30" customHeight="1" spans="1:12">
      <c r="A1" s="16" t="s">
        <v>65</v>
      </c>
      <c r="B1" s="16"/>
      <c r="C1" s="16"/>
      <c r="D1" s="16"/>
      <c r="E1" s="16"/>
      <c r="F1" s="16"/>
      <c r="G1" s="16"/>
      <c r="H1" s="16"/>
      <c r="I1" s="16"/>
      <c r="J1" s="16"/>
      <c r="K1" s="16"/>
      <c r="L1" s="16"/>
    </row>
    <row r="2" s="1" customFormat="1" ht="27" spans="1:13">
      <c r="A2" s="3" t="s">
        <v>23</v>
      </c>
      <c r="B2" s="4" t="s">
        <v>66</v>
      </c>
      <c r="C2" s="34" t="s">
        <v>67</v>
      </c>
      <c r="D2" s="34" t="s">
        <v>68</v>
      </c>
      <c r="E2" s="46" t="s">
        <v>69</v>
      </c>
      <c r="F2" s="34" t="s">
        <v>70</v>
      </c>
      <c r="G2" s="34" t="s">
        <v>71</v>
      </c>
      <c r="H2" s="34" t="s">
        <v>72</v>
      </c>
      <c r="I2" s="34" t="s">
        <v>73</v>
      </c>
      <c r="J2" s="34" t="s">
        <v>74</v>
      </c>
      <c r="K2" s="3" t="s">
        <v>75</v>
      </c>
      <c r="L2" s="34" t="s">
        <v>76</v>
      </c>
      <c r="M2" s="5" t="s">
        <v>4</v>
      </c>
    </row>
    <row r="3" ht="27" spans="1:13">
      <c r="A3" s="10" t="s">
        <v>34</v>
      </c>
      <c r="B3" s="10" t="s">
        <v>35</v>
      </c>
      <c r="C3" s="47" t="s">
        <v>77</v>
      </c>
      <c r="D3" s="47" t="s">
        <v>78</v>
      </c>
      <c r="E3" s="15" t="str">
        <f>IF(D3&lt;&gt;"",IF(D3&lt;&gt;"",TRIM(MID(D3,FIND("Φ",D3)+1,99)),"")&amp;"mm","")</f>
        <v>10mm</v>
      </c>
      <c r="F3" s="47" t="s">
        <v>79</v>
      </c>
      <c r="G3" s="47">
        <v>21021022</v>
      </c>
      <c r="H3" s="47" t="s">
        <v>80</v>
      </c>
      <c r="I3" s="47" t="s">
        <v>81</v>
      </c>
      <c r="J3" s="48">
        <v>1</v>
      </c>
      <c r="K3" s="15" t="s">
        <v>82</v>
      </c>
      <c r="L3" s="49">
        <v>44330</v>
      </c>
      <c r="M3" s="5" t="s">
        <v>83</v>
      </c>
    </row>
    <row r="4" ht="27" spans="1:12">
      <c r="A4" s="10" t="s">
        <v>34</v>
      </c>
      <c r="B4" s="10" t="s">
        <v>35</v>
      </c>
      <c r="C4" s="47" t="s">
        <v>77</v>
      </c>
      <c r="D4" s="47" t="s">
        <v>84</v>
      </c>
      <c r="E4" s="15" t="str">
        <f>IF(D4&lt;&gt;"",IF(D4&lt;&gt;"",TRIM(MID(D4,FIND("Φ",D4)+1,99)),"")&amp;"mm","")</f>
        <v>12mm</v>
      </c>
      <c r="F4" s="11" t="s">
        <v>85</v>
      </c>
      <c r="G4" s="36" t="s">
        <v>86</v>
      </c>
      <c r="H4" s="47" t="s">
        <v>80</v>
      </c>
      <c r="I4" s="47" t="s">
        <v>81</v>
      </c>
      <c r="J4" s="48">
        <v>1</v>
      </c>
      <c r="K4" s="15" t="s">
        <v>87</v>
      </c>
      <c r="L4" s="49">
        <v>44330</v>
      </c>
    </row>
    <row r="5" ht="27" spans="1:12">
      <c r="A5" s="10" t="s">
        <v>34</v>
      </c>
      <c r="B5" s="10" t="s">
        <v>35</v>
      </c>
      <c r="C5" s="47" t="s">
        <v>77</v>
      </c>
      <c r="D5" s="47" t="s">
        <v>88</v>
      </c>
      <c r="E5" s="15" t="str">
        <f>IF(D5&lt;&gt;"",IF(D5&lt;&gt;"",TRIM(MID(D5,FIND("Φ",D5)+1,99)),"")&amp;"mm","")</f>
        <v>14mm</v>
      </c>
      <c r="F5" s="11" t="s">
        <v>85</v>
      </c>
      <c r="G5" s="36" t="s">
        <v>89</v>
      </c>
      <c r="H5" s="47" t="s">
        <v>80</v>
      </c>
      <c r="I5" s="47" t="s">
        <v>81</v>
      </c>
      <c r="J5" s="48">
        <v>1</v>
      </c>
      <c r="K5" s="15" t="s">
        <v>90</v>
      </c>
      <c r="L5" s="49">
        <v>44330</v>
      </c>
    </row>
    <row r="6" ht="27" spans="1:12">
      <c r="A6" s="10" t="s">
        <v>34</v>
      </c>
      <c r="B6" s="10" t="s">
        <v>35</v>
      </c>
      <c r="C6" s="47" t="s">
        <v>77</v>
      </c>
      <c r="D6" s="47" t="s">
        <v>91</v>
      </c>
      <c r="E6" s="15" t="str">
        <f>IF(D6&lt;&gt;"",IF(D6&lt;&gt;"",TRIM(MID(D6,FIND("Φ",D6)+1,99)),"")&amp;"mm","")</f>
        <v>32mm</v>
      </c>
      <c r="F6" s="11" t="s">
        <v>92</v>
      </c>
      <c r="G6" s="36" t="s">
        <v>93</v>
      </c>
      <c r="H6" s="36" t="s">
        <v>80</v>
      </c>
      <c r="I6" s="47" t="s">
        <v>81</v>
      </c>
      <c r="J6" s="48">
        <v>1</v>
      </c>
      <c r="K6" s="15" t="s">
        <v>94</v>
      </c>
      <c r="L6" s="49">
        <v>44330</v>
      </c>
    </row>
    <row r="7" ht="27" spans="1:12">
      <c r="A7" s="10" t="s">
        <v>34</v>
      </c>
      <c r="B7" s="10" t="s">
        <v>35</v>
      </c>
      <c r="C7" s="36" t="s">
        <v>95</v>
      </c>
      <c r="D7" s="47" t="s">
        <v>78</v>
      </c>
      <c r="E7" s="15" t="str">
        <f>IF(D7&lt;&gt;"",IF(D7&lt;&gt;"",TRIM(MID(D7,FIND("Φ",D7)+1,99)),"")&amp;"mm","")</f>
        <v>10mm</v>
      </c>
      <c r="F7" s="11" t="s">
        <v>85</v>
      </c>
      <c r="G7" s="36" t="s">
        <v>96</v>
      </c>
      <c r="H7" s="36" t="s">
        <v>80</v>
      </c>
      <c r="I7" s="47" t="s">
        <v>81</v>
      </c>
      <c r="J7" s="48">
        <v>1</v>
      </c>
      <c r="K7" s="15" t="s">
        <v>97</v>
      </c>
      <c r="L7" s="49">
        <v>44330</v>
      </c>
    </row>
    <row r="8" spans="1:12">
      <c r="A8" s="10">
        <v>1</v>
      </c>
      <c r="B8" s="10">
        <v>2</v>
      </c>
      <c r="C8" s="10">
        <v>3</v>
      </c>
      <c r="D8" s="10">
        <v>4</v>
      </c>
      <c r="E8" s="10">
        <v>5</v>
      </c>
      <c r="F8" s="10">
        <v>6</v>
      </c>
      <c r="G8" s="10">
        <v>7</v>
      </c>
      <c r="H8" s="10">
        <v>8</v>
      </c>
      <c r="I8" s="10">
        <v>9</v>
      </c>
      <c r="J8" s="10">
        <v>10</v>
      </c>
      <c r="K8" s="10">
        <v>11</v>
      </c>
      <c r="L8" s="10">
        <v>12</v>
      </c>
    </row>
    <row r="9" spans="5:5">
      <c r="E9" s="15" t="str">
        <f t="shared" ref="E8:E27" si="0">IF(D9&lt;&gt;"",IF(D9&lt;&gt;"",TRIM(MID(D9,FIND("Φ",D9)+1,99)),"")&amp;"mm","")</f>
        <v/>
      </c>
    </row>
    <row r="10" spans="5:5">
      <c r="E10" s="15" t="str">
        <f t="shared" si="0"/>
        <v/>
      </c>
    </row>
    <row r="11" spans="5:5">
      <c r="E11" s="15" t="str">
        <f t="shared" si="0"/>
        <v/>
      </c>
    </row>
    <row r="12" spans="5:5">
      <c r="E12" s="15" t="str">
        <f t="shared" si="0"/>
        <v/>
      </c>
    </row>
    <row r="13" spans="5:5">
      <c r="E13" s="15" t="str">
        <f t="shared" si="0"/>
        <v/>
      </c>
    </row>
    <row r="14" spans="5:5">
      <c r="E14" s="15" t="str">
        <f t="shared" si="0"/>
        <v/>
      </c>
    </row>
    <row r="15" spans="5:5">
      <c r="E15" s="15" t="str">
        <f t="shared" si="0"/>
        <v/>
      </c>
    </row>
    <row r="16" spans="5:5">
      <c r="E16" s="15" t="str">
        <f t="shared" si="0"/>
        <v/>
      </c>
    </row>
    <row r="17" spans="5:5">
      <c r="E17" s="15" t="str">
        <f t="shared" si="0"/>
        <v/>
      </c>
    </row>
    <row r="18" spans="5:5">
      <c r="E18" s="15" t="str">
        <f t="shared" si="0"/>
        <v/>
      </c>
    </row>
    <row r="19" spans="5:5">
      <c r="E19" s="15" t="str">
        <f t="shared" si="0"/>
        <v/>
      </c>
    </row>
    <row r="20" spans="5:5">
      <c r="E20" s="15" t="str">
        <f t="shared" si="0"/>
        <v/>
      </c>
    </row>
    <row r="21" spans="5:5">
      <c r="E21" s="15" t="str">
        <f t="shared" si="0"/>
        <v/>
      </c>
    </row>
    <row r="22" spans="5:5">
      <c r="E22" s="15" t="str">
        <f t="shared" si="0"/>
        <v/>
      </c>
    </row>
    <row r="23" spans="5:5">
      <c r="E23" s="15" t="str">
        <f t="shared" si="0"/>
        <v/>
      </c>
    </row>
    <row r="24" spans="5:5">
      <c r="E24" s="15" t="str">
        <f t="shared" si="0"/>
        <v/>
      </c>
    </row>
    <row r="25" spans="5:5">
      <c r="E25" s="15" t="str">
        <f t="shared" si="0"/>
        <v/>
      </c>
    </row>
    <row r="26" spans="5:5">
      <c r="E26" s="15" t="str">
        <f t="shared" si="0"/>
        <v/>
      </c>
    </row>
    <row r="27" spans="5:5">
      <c r="E27" s="15" t="str">
        <f t="shared" si="0"/>
        <v/>
      </c>
    </row>
  </sheetData>
  <mergeCells count="1">
    <mergeCell ref="A1:K1"/>
  </mergeCells>
  <hyperlinks>
    <hyperlink ref="M2" r:id="rId1" display="钢筋原材检测"/>
    <hyperlink ref="M3" location="目录!A1" display="返回目录"/>
  </hyperlinks>
  <pageMargins left="0.75" right="0.75" top="1" bottom="1" header="0.5" footer="0.5"/>
  <pageSetup paperSize="9" orientation="portrait"/>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A1:L3"/>
  <sheetViews>
    <sheetView workbookViewId="0">
      <selection activeCell="C7" sqref="C7"/>
    </sheetView>
  </sheetViews>
  <sheetFormatPr defaultColWidth="9" defaultRowHeight="13.5" outlineLevelRow="2"/>
  <cols>
    <col min="1" max="1" width="9" style="15"/>
    <col min="2" max="2" width="41.625" style="15" customWidth="1"/>
    <col min="3" max="3" width="17.25" style="15" customWidth="1"/>
    <col min="4" max="4" width="11" style="15" customWidth="1"/>
    <col min="5" max="5" width="11.75" style="15" customWidth="1"/>
    <col min="6" max="7" width="9" style="15"/>
    <col min="8" max="8" width="22.5" style="15" customWidth="1"/>
    <col min="9" max="16384" width="9" style="15"/>
  </cols>
  <sheetData>
    <row r="1" ht="27" customHeight="1" spans="1:9">
      <c r="A1" s="2" t="s">
        <v>98</v>
      </c>
      <c r="B1" s="2"/>
      <c r="C1" s="2"/>
      <c r="D1" s="2"/>
      <c r="E1" s="2"/>
      <c r="F1" s="2"/>
      <c r="G1" s="2"/>
      <c r="H1" s="2"/>
      <c r="I1" s="2"/>
    </row>
    <row r="2" s="3" customFormat="1" ht="27" spans="1:9">
      <c r="A2" s="3" t="s">
        <v>23</v>
      </c>
      <c r="B2" s="4" t="s">
        <v>66</v>
      </c>
      <c r="C2" s="3" t="s">
        <v>99</v>
      </c>
      <c r="D2" s="3" t="s">
        <v>100</v>
      </c>
      <c r="E2" s="3" t="s">
        <v>72</v>
      </c>
      <c r="F2" s="3" t="s">
        <v>73</v>
      </c>
      <c r="G2" s="4" t="s">
        <v>74</v>
      </c>
      <c r="H2" s="3" t="s">
        <v>75</v>
      </c>
      <c r="I2" s="3" t="s">
        <v>76</v>
      </c>
    </row>
    <row r="3" ht="32" customHeight="1" spans="1:12">
      <c r="A3" s="10" t="s">
        <v>34</v>
      </c>
      <c r="B3" s="10" t="s">
        <v>35</v>
      </c>
      <c r="C3" s="15" t="s">
        <v>77</v>
      </c>
      <c r="D3" s="45">
        <v>32</v>
      </c>
      <c r="E3" s="15" t="s">
        <v>101</v>
      </c>
      <c r="F3" s="15" t="s">
        <v>81</v>
      </c>
      <c r="G3" s="15">
        <v>1</v>
      </c>
      <c r="H3" s="15" t="s">
        <v>102</v>
      </c>
      <c r="L3" s="5" t="s">
        <v>83</v>
      </c>
    </row>
  </sheetData>
  <mergeCells count="1">
    <mergeCell ref="A1:I1"/>
  </mergeCells>
  <hyperlinks>
    <hyperlink ref="L3" location="目录!A1" display="返回目录"/>
  </hyperlinks>
  <pageMargins left="0.75" right="0.75" top="1" bottom="1" header="0.5" footer="0.5"/>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A1:K4"/>
  <sheetViews>
    <sheetView view="pageBreakPreview" zoomScaleNormal="100" workbookViewId="0">
      <selection activeCell="C8" sqref="C8"/>
    </sheetView>
  </sheetViews>
  <sheetFormatPr defaultColWidth="9" defaultRowHeight="13.5" outlineLevelRow="3"/>
  <cols>
    <col min="1" max="1" width="9" style="15"/>
    <col min="2" max="2" width="25.25" style="15" customWidth="1"/>
    <col min="3" max="8" width="9.625" style="15" customWidth="1"/>
    <col min="9" max="9" width="18.5" style="15" customWidth="1"/>
    <col min="10" max="10" width="9" style="15"/>
    <col min="11" max="11" width="14" style="15" customWidth="1"/>
    <col min="12" max="16384" width="9" style="15"/>
  </cols>
  <sheetData>
    <row r="1" ht="20.25" spans="1:9">
      <c r="A1" s="2" t="s">
        <v>103</v>
      </c>
      <c r="B1" s="2"/>
      <c r="C1" s="2"/>
      <c r="D1" s="2"/>
      <c r="E1" s="2"/>
      <c r="F1" s="2"/>
      <c r="G1" s="2"/>
      <c r="H1" s="2"/>
      <c r="I1" s="2"/>
    </row>
    <row r="2" ht="27" spans="1:11">
      <c r="A2" s="3" t="s">
        <v>23</v>
      </c>
      <c r="B2" s="4" t="s">
        <v>66</v>
      </c>
      <c r="C2" s="4" t="s">
        <v>104</v>
      </c>
      <c r="D2" s="3" t="s">
        <v>99</v>
      </c>
      <c r="E2" s="3" t="s">
        <v>100</v>
      </c>
      <c r="F2" s="3" t="s">
        <v>72</v>
      </c>
      <c r="G2" s="3" t="s">
        <v>73</v>
      </c>
      <c r="H2" s="4" t="s">
        <v>74</v>
      </c>
      <c r="I2" s="3" t="s">
        <v>75</v>
      </c>
      <c r="K2" s="44" t="s">
        <v>7</v>
      </c>
    </row>
    <row r="3" ht="27" spans="1:11">
      <c r="A3" s="10" t="s">
        <v>34</v>
      </c>
      <c r="B3" s="10" t="s">
        <v>35</v>
      </c>
      <c r="C3" s="15" t="s">
        <v>105</v>
      </c>
      <c r="D3" s="15" t="s">
        <v>77</v>
      </c>
      <c r="E3" s="15">
        <v>32</v>
      </c>
      <c r="F3" s="15" t="s">
        <v>106</v>
      </c>
      <c r="G3" s="15" t="s">
        <v>81</v>
      </c>
      <c r="H3" s="15">
        <v>1</v>
      </c>
      <c r="I3" s="15" t="s">
        <v>107</v>
      </c>
      <c r="K3" s="7" t="s">
        <v>83</v>
      </c>
    </row>
    <row r="4" ht="27" spans="1:9">
      <c r="A4" s="10" t="s">
        <v>53</v>
      </c>
      <c r="B4" s="10" t="s">
        <v>54</v>
      </c>
      <c r="C4" s="15" t="s">
        <v>105</v>
      </c>
      <c r="D4" s="15" t="s">
        <v>77</v>
      </c>
      <c r="E4" s="15">
        <v>14</v>
      </c>
      <c r="F4" s="15" t="s">
        <v>106</v>
      </c>
      <c r="G4" s="43" t="s">
        <v>108</v>
      </c>
      <c r="H4" s="15">
        <v>1</v>
      </c>
      <c r="I4" s="15" t="s">
        <v>109</v>
      </c>
    </row>
  </sheetData>
  <mergeCells count="1">
    <mergeCell ref="A1:I1"/>
  </mergeCells>
  <dataValidations count="1">
    <dataValidation type="list" allowBlank="1" showInputMessage="1" showErrorMessage="1" sqref="C3 C4 C5:C12 C13:C36">
      <formula1>"双面搭接焊,单面搭接焊,电渣压力焊,闪光对焊"</formula1>
    </dataValidation>
  </dataValidations>
  <hyperlinks>
    <hyperlink ref="K2" r:id="rId1" display="钢筋焊接检测"/>
    <hyperlink ref="K3" location="目录!A1" display="返回目录"/>
  </hyperlinks>
  <pageMargins left="0.75" right="0.75" top="1" bottom="1" header="0.5" footer="0.5"/>
  <pageSetup paperSize="9"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M55"/>
  <sheetViews>
    <sheetView topLeftCell="A27" workbookViewId="0">
      <selection activeCell="H30" sqref="H30"/>
    </sheetView>
  </sheetViews>
  <sheetFormatPr defaultColWidth="9" defaultRowHeight="13.5"/>
  <cols>
    <col min="2" max="2" width="40.5" style="10" customWidth="1"/>
    <col min="3" max="3" width="11.625" style="10" customWidth="1"/>
    <col min="4" max="4" width="7.25" style="15" customWidth="1"/>
    <col min="5" max="5" width="10.625" style="15" customWidth="1"/>
    <col min="6" max="7" width="19.625" style="15" customWidth="1"/>
    <col min="8" max="8" width="8.75" style="15" customWidth="1"/>
    <col min="9" max="9" width="10.375" style="15"/>
    <col min="10" max="10" width="9" style="15"/>
    <col min="11" max="11" width="19" style="15" customWidth="1"/>
    <col min="12" max="12" width="12.25" style="15" customWidth="1"/>
    <col min="13" max="16384" width="9" style="15"/>
  </cols>
  <sheetData>
    <row r="1" ht="24" customHeight="1" spans="1:12">
      <c r="A1" s="2" t="s">
        <v>110</v>
      </c>
      <c r="B1" s="2"/>
      <c r="C1" s="2"/>
      <c r="D1" s="2"/>
      <c r="E1" s="2"/>
      <c r="F1" s="2"/>
      <c r="G1" s="2"/>
      <c r="H1" s="2"/>
      <c r="I1" s="2"/>
      <c r="J1" s="2"/>
      <c r="K1" s="2"/>
      <c r="L1" s="2"/>
    </row>
    <row r="2" s="3" customFormat="1" ht="30" customHeight="1" spans="1:13">
      <c r="A2" s="3" t="s">
        <v>23</v>
      </c>
      <c r="B2" s="4" t="s">
        <v>66</v>
      </c>
      <c r="C2" s="3" t="s">
        <v>111</v>
      </c>
      <c r="D2" s="4" t="s">
        <v>112</v>
      </c>
      <c r="E2" s="34" t="s">
        <v>113</v>
      </c>
      <c r="F2" s="3" t="s">
        <v>100</v>
      </c>
      <c r="G2" s="3" t="s">
        <v>73</v>
      </c>
      <c r="H2" s="3" t="s">
        <v>72</v>
      </c>
      <c r="I2" s="3" t="s">
        <v>114</v>
      </c>
      <c r="J2" s="4" t="s">
        <v>115</v>
      </c>
      <c r="K2" s="3" t="s">
        <v>75</v>
      </c>
      <c r="L2" s="3" t="s">
        <v>76</v>
      </c>
      <c r="M2" s="7" t="s">
        <v>83</v>
      </c>
    </row>
    <row r="3" s="3" customFormat="1" ht="15" customHeight="1" spans="1:12">
      <c r="A3" s="3">
        <v>1</v>
      </c>
      <c r="B3" s="3">
        <v>2</v>
      </c>
      <c r="C3" s="3">
        <v>3</v>
      </c>
      <c r="D3" s="3">
        <v>4</v>
      </c>
      <c r="E3" s="3">
        <v>5</v>
      </c>
      <c r="F3" s="3">
        <v>6</v>
      </c>
      <c r="G3" s="3">
        <v>8</v>
      </c>
      <c r="H3" s="3">
        <v>7</v>
      </c>
      <c r="I3" s="3">
        <v>9</v>
      </c>
      <c r="J3" s="3">
        <v>10</v>
      </c>
      <c r="K3" s="3">
        <v>12</v>
      </c>
      <c r="L3" s="3">
        <v>11</v>
      </c>
    </row>
    <row r="4" ht="25" customHeight="1" spans="1:13">
      <c r="A4" s="10" t="s">
        <v>40</v>
      </c>
      <c r="B4" s="10" t="s">
        <v>41</v>
      </c>
      <c r="C4" s="10" t="s">
        <v>116</v>
      </c>
      <c r="D4" s="15" t="s">
        <v>117</v>
      </c>
      <c r="E4" s="15">
        <v>25</v>
      </c>
      <c r="F4" s="15" t="s">
        <v>118</v>
      </c>
      <c r="G4" s="15" t="s">
        <v>119</v>
      </c>
      <c r="H4" s="36" t="s">
        <v>120</v>
      </c>
      <c r="I4" s="25">
        <v>44328</v>
      </c>
      <c r="J4" s="15">
        <v>1</v>
      </c>
      <c r="K4" s="15" t="s">
        <v>121</v>
      </c>
      <c r="L4" s="25">
        <v>44356</v>
      </c>
      <c r="M4" s="7"/>
    </row>
    <row r="5" ht="25" customHeight="1" spans="1:12">
      <c r="A5" s="10" t="s">
        <v>45</v>
      </c>
      <c r="B5" s="35" t="s">
        <v>46</v>
      </c>
      <c r="C5" s="10" t="s">
        <v>116</v>
      </c>
      <c r="D5" s="40" t="s">
        <v>117</v>
      </c>
      <c r="E5" s="15">
        <v>25</v>
      </c>
      <c r="F5" s="15" t="s">
        <v>118</v>
      </c>
      <c r="G5" s="40" t="s">
        <v>122</v>
      </c>
      <c r="H5" s="36" t="s">
        <v>120</v>
      </c>
      <c r="I5" s="25">
        <v>44311</v>
      </c>
      <c r="J5" s="15">
        <v>1</v>
      </c>
      <c r="L5" s="25">
        <v>44339</v>
      </c>
    </row>
    <row r="6" ht="25" customHeight="1" spans="1:12">
      <c r="A6" s="10" t="s">
        <v>45</v>
      </c>
      <c r="B6" s="35" t="s">
        <v>46</v>
      </c>
      <c r="C6" s="10" t="s">
        <v>116</v>
      </c>
      <c r="D6" s="40" t="s">
        <v>117</v>
      </c>
      <c r="E6" s="15">
        <v>25</v>
      </c>
      <c r="F6" s="15" t="s">
        <v>118</v>
      </c>
      <c r="G6" s="40" t="s">
        <v>123</v>
      </c>
      <c r="H6" s="36" t="s">
        <v>120</v>
      </c>
      <c r="I6" s="25">
        <v>44315</v>
      </c>
      <c r="J6" s="15">
        <v>1</v>
      </c>
      <c r="L6" s="25">
        <v>44343</v>
      </c>
    </row>
    <row r="7" ht="25" customHeight="1" spans="1:12">
      <c r="A7" s="10" t="s">
        <v>47</v>
      </c>
      <c r="B7" s="35" t="s">
        <v>48</v>
      </c>
      <c r="C7" s="10" t="s">
        <v>116</v>
      </c>
      <c r="D7" s="40" t="s">
        <v>117</v>
      </c>
      <c r="E7" s="15">
        <v>25</v>
      </c>
      <c r="F7" s="15" t="s">
        <v>118</v>
      </c>
      <c r="G7" s="40" t="s">
        <v>124</v>
      </c>
      <c r="H7" s="36" t="s">
        <v>120</v>
      </c>
      <c r="I7" s="25">
        <v>44291</v>
      </c>
      <c r="J7" s="15">
        <v>1</v>
      </c>
      <c r="L7" s="25">
        <v>44319</v>
      </c>
    </row>
    <row r="8" ht="25" customHeight="1" spans="1:12">
      <c r="A8" s="10" t="s">
        <v>47</v>
      </c>
      <c r="B8" s="35" t="s">
        <v>48</v>
      </c>
      <c r="C8" s="10" t="s">
        <v>116</v>
      </c>
      <c r="D8" s="40" t="s">
        <v>117</v>
      </c>
      <c r="E8" s="15">
        <v>25</v>
      </c>
      <c r="F8" s="15" t="s">
        <v>118</v>
      </c>
      <c r="G8" s="38" t="s">
        <v>125</v>
      </c>
      <c r="H8" s="36" t="s">
        <v>120</v>
      </c>
      <c r="I8" s="25">
        <v>44294</v>
      </c>
      <c r="J8" s="15">
        <v>1</v>
      </c>
      <c r="L8" s="25">
        <v>44322</v>
      </c>
    </row>
    <row r="9" ht="25" customHeight="1" spans="1:12">
      <c r="A9" s="10" t="s">
        <v>47</v>
      </c>
      <c r="B9" s="35" t="s">
        <v>48</v>
      </c>
      <c r="C9" s="10" t="s">
        <v>116</v>
      </c>
      <c r="D9" s="40" t="s">
        <v>117</v>
      </c>
      <c r="E9" s="15">
        <v>25</v>
      </c>
      <c r="F9" s="15" t="s">
        <v>118</v>
      </c>
      <c r="G9" s="38" t="s">
        <v>126</v>
      </c>
      <c r="H9" s="36" t="s">
        <v>120</v>
      </c>
      <c r="I9" s="25">
        <v>44297</v>
      </c>
      <c r="J9" s="15">
        <v>1</v>
      </c>
      <c r="L9" s="25">
        <v>44325</v>
      </c>
    </row>
    <row r="10" ht="25" customHeight="1" spans="1:12">
      <c r="A10" s="10" t="s">
        <v>47</v>
      </c>
      <c r="B10" s="35" t="s">
        <v>48</v>
      </c>
      <c r="C10" s="10" t="s">
        <v>116</v>
      </c>
      <c r="D10" s="40" t="s">
        <v>117</v>
      </c>
      <c r="E10" s="15">
        <v>25</v>
      </c>
      <c r="F10" s="15" t="s">
        <v>118</v>
      </c>
      <c r="G10" s="38" t="s">
        <v>127</v>
      </c>
      <c r="H10" s="36" t="s">
        <v>120</v>
      </c>
      <c r="I10" s="25">
        <v>44299</v>
      </c>
      <c r="J10" s="15">
        <v>1</v>
      </c>
      <c r="L10" s="25">
        <v>44327</v>
      </c>
    </row>
    <row r="11" ht="25" customHeight="1" spans="1:12">
      <c r="A11" s="10" t="s">
        <v>47</v>
      </c>
      <c r="B11" s="35" t="s">
        <v>48</v>
      </c>
      <c r="C11" s="10" t="s">
        <v>116</v>
      </c>
      <c r="D11" s="40" t="s">
        <v>117</v>
      </c>
      <c r="E11" s="15">
        <v>25</v>
      </c>
      <c r="F11" s="15" t="s">
        <v>118</v>
      </c>
      <c r="G11" s="37" t="s">
        <v>128</v>
      </c>
      <c r="H11" s="36" t="s">
        <v>120</v>
      </c>
      <c r="I11" s="25">
        <v>44301</v>
      </c>
      <c r="J11" s="15">
        <v>1</v>
      </c>
      <c r="L11" s="25">
        <v>44329</v>
      </c>
    </row>
    <row r="12" ht="25" customHeight="1" spans="1:12">
      <c r="A12" s="10" t="s">
        <v>47</v>
      </c>
      <c r="B12" s="35" t="s">
        <v>48</v>
      </c>
      <c r="C12" s="10" t="s">
        <v>116</v>
      </c>
      <c r="D12" s="40" t="s">
        <v>117</v>
      </c>
      <c r="E12" s="15">
        <v>25</v>
      </c>
      <c r="F12" s="15" t="s">
        <v>118</v>
      </c>
      <c r="G12" s="37" t="s">
        <v>129</v>
      </c>
      <c r="H12" s="36" t="s">
        <v>120</v>
      </c>
      <c r="I12" s="25">
        <v>44302</v>
      </c>
      <c r="J12" s="15">
        <v>1</v>
      </c>
      <c r="L12" s="25">
        <v>44330</v>
      </c>
    </row>
    <row r="13" ht="25" customHeight="1" spans="1:12">
      <c r="A13" s="10" t="s">
        <v>47</v>
      </c>
      <c r="B13" s="35" t="s">
        <v>48</v>
      </c>
      <c r="C13" s="10" t="s">
        <v>116</v>
      </c>
      <c r="D13" s="40" t="s">
        <v>117</v>
      </c>
      <c r="E13" s="15">
        <v>25</v>
      </c>
      <c r="F13" s="15" t="s">
        <v>118</v>
      </c>
      <c r="G13" s="37" t="s">
        <v>130</v>
      </c>
      <c r="H13" s="36" t="s">
        <v>120</v>
      </c>
      <c r="I13" s="25">
        <v>44305</v>
      </c>
      <c r="J13" s="15">
        <v>1</v>
      </c>
      <c r="L13" s="25">
        <v>44333</v>
      </c>
    </row>
    <row r="14" ht="25" customHeight="1" spans="1:12">
      <c r="A14" s="10" t="s">
        <v>49</v>
      </c>
      <c r="B14" s="35" t="s">
        <v>50</v>
      </c>
      <c r="C14" s="10" t="s">
        <v>116</v>
      </c>
      <c r="D14" s="40" t="s">
        <v>117</v>
      </c>
      <c r="E14" s="40">
        <v>25</v>
      </c>
      <c r="F14" s="15" t="s">
        <v>118</v>
      </c>
      <c r="G14" s="39" t="s">
        <v>131</v>
      </c>
      <c r="H14" s="36" t="s">
        <v>120</v>
      </c>
      <c r="I14" s="25">
        <v>44350</v>
      </c>
      <c r="J14" s="15">
        <v>1</v>
      </c>
      <c r="L14" s="25">
        <v>44378</v>
      </c>
    </row>
    <row r="15" ht="15" spans="1:12">
      <c r="A15" s="10" t="s">
        <v>53</v>
      </c>
      <c r="B15" s="11" t="s">
        <v>60</v>
      </c>
      <c r="C15" s="10" t="s">
        <v>116</v>
      </c>
      <c r="D15" s="10" t="s">
        <v>132</v>
      </c>
      <c r="E15" s="10">
        <v>25</v>
      </c>
      <c r="F15" s="15" t="s">
        <v>118</v>
      </c>
      <c r="G15" s="10" t="s">
        <v>133</v>
      </c>
      <c r="H15" s="11" t="s">
        <v>134</v>
      </c>
      <c r="I15" s="41">
        <v>44379</v>
      </c>
      <c r="J15" s="15">
        <v>1</v>
      </c>
      <c r="K15" s="10" t="s">
        <v>135</v>
      </c>
      <c r="L15" s="41">
        <v>44407</v>
      </c>
    </row>
    <row r="16" ht="15" spans="1:12">
      <c r="A16" s="10" t="s">
        <v>53</v>
      </c>
      <c r="B16" s="11" t="s">
        <v>60</v>
      </c>
      <c r="C16" s="10" t="s">
        <v>116</v>
      </c>
      <c r="D16" s="10" t="s">
        <v>132</v>
      </c>
      <c r="E16" s="10">
        <v>25</v>
      </c>
      <c r="F16" s="15" t="s">
        <v>118</v>
      </c>
      <c r="G16" s="10" t="s">
        <v>136</v>
      </c>
      <c r="H16" s="11" t="s">
        <v>134</v>
      </c>
      <c r="I16" s="41">
        <v>44379</v>
      </c>
      <c r="J16" s="15">
        <v>1</v>
      </c>
      <c r="K16" s="10" t="s">
        <v>137</v>
      </c>
      <c r="L16" s="41">
        <v>44407</v>
      </c>
    </row>
    <row r="17" ht="15" spans="1:12">
      <c r="A17" s="10" t="s">
        <v>53</v>
      </c>
      <c r="B17" s="11" t="s">
        <v>60</v>
      </c>
      <c r="C17" s="10" t="s">
        <v>116</v>
      </c>
      <c r="D17" s="10" t="s">
        <v>132</v>
      </c>
      <c r="E17" s="10">
        <v>25</v>
      </c>
      <c r="F17" s="15" t="s">
        <v>118</v>
      </c>
      <c r="G17" s="10" t="s">
        <v>138</v>
      </c>
      <c r="H17" s="11" t="s">
        <v>134</v>
      </c>
      <c r="I17" s="41">
        <v>44379</v>
      </c>
      <c r="J17" s="15">
        <v>1</v>
      </c>
      <c r="K17" s="10" t="s">
        <v>139</v>
      </c>
      <c r="L17" s="41">
        <v>44407</v>
      </c>
    </row>
    <row r="18" ht="15" spans="1:12">
      <c r="A18" s="10" t="s">
        <v>53</v>
      </c>
      <c r="B18" s="11" t="s">
        <v>60</v>
      </c>
      <c r="C18" s="10" t="s">
        <v>116</v>
      </c>
      <c r="D18" s="10" t="s">
        <v>132</v>
      </c>
      <c r="E18" s="10">
        <v>25</v>
      </c>
      <c r="F18" s="15" t="s">
        <v>118</v>
      </c>
      <c r="G18" s="10" t="s">
        <v>140</v>
      </c>
      <c r="H18" s="11" t="s">
        <v>134</v>
      </c>
      <c r="I18" s="25">
        <v>44380</v>
      </c>
      <c r="J18" s="15">
        <v>1</v>
      </c>
      <c r="K18" s="10" t="s">
        <v>141</v>
      </c>
      <c r="L18" s="25">
        <v>44408</v>
      </c>
    </row>
    <row r="19" ht="15" spans="1:12">
      <c r="A19" s="10" t="s">
        <v>53</v>
      </c>
      <c r="B19" s="11" t="s">
        <v>60</v>
      </c>
      <c r="C19" s="10" t="s">
        <v>116</v>
      </c>
      <c r="D19" s="10" t="s">
        <v>132</v>
      </c>
      <c r="E19" s="10">
        <v>25</v>
      </c>
      <c r="F19" s="15" t="s">
        <v>118</v>
      </c>
      <c r="G19" s="10" t="s">
        <v>142</v>
      </c>
      <c r="H19" s="11" t="s">
        <v>134</v>
      </c>
      <c r="I19" s="25">
        <v>44380</v>
      </c>
      <c r="J19" s="15">
        <v>1</v>
      </c>
      <c r="K19" s="10" t="s">
        <v>143</v>
      </c>
      <c r="L19" s="25">
        <v>44408</v>
      </c>
    </row>
    <row r="20" ht="15" spans="1:12">
      <c r="A20" s="10" t="s">
        <v>53</v>
      </c>
      <c r="B20" s="11" t="s">
        <v>60</v>
      </c>
      <c r="C20" s="10" t="s">
        <v>116</v>
      </c>
      <c r="D20" s="10" t="s">
        <v>132</v>
      </c>
      <c r="E20" s="10">
        <v>25</v>
      </c>
      <c r="F20" s="15" t="s">
        <v>118</v>
      </c>
      <c r="G20" s="10" t="s">
        <v>144</v>
      </c>
      <c r="H20" s="11" t="s">
        <v>134</v>
      </c>
      <c r="I20" s="25">
        <v>44380</v>
      </c>
      <c r="J20" s="15">
        <v>1</v>
      </c>
      <c r="K20" s="10" t="s">
        <v>145</v>
      </c>
      <c r="L20" s="25">
        <v>44408</v>
      </c>
    </row>
    <row r="21" ht="15" spans="1:12">
      <c r="A21" s="10" t="s">
        <v>53</v>
      </c>
      <c r="B21" s="11" t="s">
        <v>60</v>
      </c>
      <c r="C21" s="10" t="s">
        <v>116</v>
      </c>
      <c r="D21" s="10" t="s">
        <v>132</v>
      </c>
      <c r="E21" s="10">
        <v>25</v>
      </c>
      <c r="F21" s="15" t="s">
        <v>118</v>
      </c>
      <c r="G21" s="15" t="s">
        <v>146</v>
      </c>
      <c r="H21" s="11" t="s">
        <v>134</v>
      </c>
      <c r="I21" s="42">
        <v>44380</v>
      </c>
      <c r="J21" s="15">
        <v>1</v>
      </c>
      <c r="K21" s="10" t="s">
        <v>147</v>
      </c>
      <c r="L21" s="25">
        <f t="shared" ref="L21:L31" si="0">I21+28</f>
        <v>44408</v>
      </c>
    </row>
    <row r="22" ht="15" spans="1:12">
      <c r="A22" s="10" t="s">
        <v>53</v>
      </c>
      <c r="B22" s="11" t="s">
        <v>60</v>
      </c>
      <c r="C22" s="10" t="s">
        <v>116</v>
      </c>
      <c r="D22" s="10" t="s">
        <v>132</v>
      </c>
      <c r="E22" s="10">
        <v>25</v>
      </c>
      <c r="F22" s="15" t="s">
        <v>118</v>
      </c>
      <c r="G22" s="10" t="s">
        <v>148</v>
      </c>
      <c r="H22" s="11" t="s">
        <v>134</v>
      </c>
      <c r="I22" s="42">
        <v>44381</v>
      </c>
      <c r="J22" s="15">
        <v>1</v>
      </c>
      <c r="K22" s="10" t="s">
        <v>149</v>
      </c>
      <c r="L22" s="25">
        <f t="shared" si="0"/>
        <v>44409</v>
      </c>
    </row>
    <row r="23" ht="15" spans="1:12">
      <c r="A23" s="10" t="s">
        <v>53</v>
      </c>
      <c r="B23" s="11" t="s">
        <v>60</v>
      </c>
      <c r="C23" s="10" t="s">
        <v>116</v>
      </c>
      <c r="D23" s="10" t="s">
        <v>132</v>
      </c>
      <c r="E23" s="10">
        <v>25</v>
      </c>
      <c r="F23" s="15" t="s">
        <v>118</v>
      </c>
      <c r="G23" s="15" t="s">
        <v>150</v>
      </c>
      <c r="H23" s="11" t="s">
        <v>134</v>
      </c>
      <c r="I23" s="42">
        <v>44381</v>
      </c>
      <c r="J23" s="15">
        <v>1</v>
      </c>
      <c r="K23" s="10" t="s">
        <v>151</v>
      </c>
      <c r="L23" s="25">
        <f t="shared" si="0"/>
        <v>44409</v>
      </c>
    </row>
    <row r="24" ht="15" spans="1:12">
      <c r="A24" s="10" t="s">
        <v>53</v>
      </c>
      <c r="B24" s="11" t="s">
        <v>60</v>
      </c>
      <c r="C24" s="10" t="s">
        <v>116</v>
      </c>
      <c r="D24" s="10" t="s">
        <v>132</v>
      </c>
      <c r="E24" s="10">
        <v>25</v>
      </c>
      <c r="F24" s="15" t="s">
        <v>118</v>
      </c>
      <c r="G24" s="15" t="s">
        <v>152</v>
      </c>
      <c r="H24" s="11" t="s">
        <v>134</v>
      </c>
      <c r="I24" s="42">
        <v>44381</v>
      </c>
      <c r="J24" s="15">
        <v>1</v>
      </c>
      <c r="K24" s="10" t="s">
        <v>153</v>
      </c>
      <c r="L24" s="25">
        <f t="shared" si="0"/>
        <v>44409</v>
      </c>
    </row>
    <row r="25" ht="15" spans="1:12">
      <c r="A25" s="10" t="s">
        <v>53</v>
      </c>
      <c r="B25" s="11" t="s">
        <v>60</v>
      </c>
      <c r="C25" s="10" t="s">
        <v>116</v>
      </c>
      <c r="D25" s="10" t="s">
        <v>132</v>
      </c>
      <c r="E25" s="10">
        <v>25</v>
      </c>
      <c r="F25" s="15" t="s">
        <v>118</v>
      </c>
      <c r="G25" s="10" t="s">
        <v>154</v>
      </c>
      <c r="H25" s="11" t="s">
        <v>134</v>
      </c>
      <c r="I25" s="42">
        <v>44382</v>
      </c>
      <c r="J25" s="15">
        <v>1</v>
      </c>
      <c r="K25" s="10" t="s">
        <v>155</v>
      </c>
      <c r="L25" s="25">
        <f t="shared" si="0"/>
        <v>44410</v>
      </c>
    </row>
    <row r="26" ht="15" spans="1:12">
      <c r="A26" s="10" t="s">
        <v>53</v>
      </c>
      <c r="B26" s="11" t="s">
        <v>60</v>
      </c>
      <c r="C26" s="10" t="s">
        <v>116</v>
      </c>
      <c r="D26" s="10" t="s">
        <v>132</v>
      </c>
      <c r="E26" s="10">
        <v>25</v>
      </c>
      <c r="F26" s="15" t="s">
        <v>118</v>
      </c>
      <c r="G26" s="10" t="s">
        <v>156</v>
      </c>
      <c r="H26" s="11" t="s">
        <v>134</v>
      </c>
      <c r="I26" s="42">
        <v>44382</v>
      </c>
      <c r="J26" s="15">
        <v>1</v>
      </c>
      <c r="K26" s="10" t="s">
        <v>157</v>
      </c>
      <c r="L26" s="25">
        <f t="shared" si="0"/>
        <v>44410</v>
      </c>
    </row>
    <row r="27" ht="15" spans="1:12">
      <c r="A27" s="10" t="s">
        <v>53</v>
      </c>
      <c r="B27" s="11" t="s">
        <v>60</v>
      </c>
      <c r="C27" s="10" t="s">
        <v>116</v>
      </c>
      <c r="D27" s="10" t="s">
        <v>132</v>
      </c>
      <c r="E27" s="10">
        <v>25</v>
      </c>
      <c r="F27" s="15" t="s">
        <v>118</v>
      </c>
      <c r="G27" s="10" t="s">
        <v>158</v>
      </c>
      <c r="H27" s="11" t="s">
        <v>134</v>
      </c>
      <c r="I27" s="42">
        <v>44382</v>
      </c>
      <c r="J27" s="15">
        <v>1</v>
      </c>
      <c r="K27" s="10" t="s">
        <v>159</v>
      </c>
      <c r="L27" s="25">
        <f t="shared" si="0"/>
        <v>44410</v>
      </c>
    </row>
    <row r="28" ht="15" spans="1:12">
      <c r="A28" s="10" t="s">
        <v>53</v>
      </c>
      <c r="B28" s="11" t="s">
        <v>60</v>
      </c>
      <c r="C28" s="10" t="s">
        <v>116</v>
      </c>
      <c r="D28" s="10" t="s">
        <v>132</v>
      </c>
      <c r="E28" s="10">
        <v>25</v>
      </c>
      <c r="F28" s="15" t="s">
        <v>118</v>
      </c>
      <c r="G28" s="10" t="s">
        <v>160</v>
      </c>
      <c r="H28" s="11" t="s">
        <v>134</v>
      </c>
      <c r="I28" s="42">
        <v>44382</v>
      </c>
      <c r="J28" s="15">
        <v>1</v>
      </c>
      <c r="K28" s="10" t="s">
        <v>161</v>
      </c>
      <c r="L28" s="25">
        <f t="shared" si="0"/>
        <v>44410</v>
      </c>
    </row>
    <row r="29" ht="15" spans="1:12">
      <c r="A29" s="10" t="s">
        <v>53</v>
      </c>
      <c r="B29" s="11" t="s">
        <v>60</v>
      </c>
      <c r="C29" s="10" t="s">
        <v>116</v>
      </c>
      <c r="D29" s="10" t="s">
        <v>132</v>
      </c>
      <c r="E29" s="10">
        <v>25</v>
      </c>
      <c r="F29" s="15" t="s">
        <v>118</v>
      </c>
      <c r="G29" s="10" t="s">
        <v>162</v>
      </c>
      <c r="H29" s="11" t="s">
        <v>134</v>
      </c>
      <c r="I29" s="42">
        <v>44382</v>
      </c>
      <c r="J29" s="15">
        <v>1</v>
      </c>
      <c r="K29" s="10" t="s">
        <v>163</v>
      </c>
      <c r="L29" s="25">
        <f t="shared" si="0"/>
        <v>44410</v>
      </c>
    </row>
    <row r="30" ht="15" spans="1:12">
      <c r="A30" s="10" t="s">
        <v>53</v>
      </c>
      <c r="B30" s="11" t="s">
        <v>60</v>
      </c>
      <c r="C30" s="10" t="s">
        <v>116</v>
      </c>
      <c r="D30" s="10" t="s">
        <v>132</v>
      </c>
      <c r="E30" s="10">
        <v>25</v>
      </c>
      <c r="F30" s="15" t="s">
        <v>118</v>
      </c>
      <c r="G30" s="10" t="s">
        <v>164</v>
      </c>
      <c r="H30" s="11" t="s">
        <v>134</v>
      </c>
      <c r="I30" s="42">
        <v>44382</v>
      </c>
      <c r="J30" s="15">
        <v>1</v>
      </c>
      <c r="K30" s="10" t="s">
        <v>165</v>
      </c>
      <c r="L30" s="25">
        <f t="shared" si="0"/>
        <v>44410</v>
      </c>
    </row>
    <row r="31" ht="15" spans="1:12">
      <c r="A31" s="10" t="s">
        <v>53</v>
      </c>
      <c r="B31" s="11" t="s">
        <v>60</v>
      </c>
      <c r="C31" s="10" t="s">
        <v>116</v>
      </c>
      <c r="D31" s="10" t="s">
        <v>132</v>
      </c>
      <c r="E31" s="10">
        <v>25</v>
      </c>
      <c r="F31" s="15" t="s">
        <v>118</v>
      </c>
      <c r="G31" s="10" t="s">
        <v>166</v>
      </c>
      <c r="H31" s="11" t="s">
        <v>134</v>
      </c>
      <c r="I31" s="42">
        <v>44382</v>
      </c>
      <c r="J31" s="15">
        <v>1</v>
      </c>
      <c r="K31" s="10" t="s">
        <v>167</v>
      </c>
      <c r="L31" s="25">
        <f t="shared" si="0"/>
        <v>44410</v>
      </c>
    </row>
    <row r="32" ht="15" spans="1:12">
      <c r="A32" s="10" t="s">
        <v>53</v>
      </c>
      <c r="B32" s="11" t="s">
        <v>60</v>
      </c>
      <c r="C32" s="10" t="s">
        <v>116</v>
      </c>
      <c r="D32" s="40" t="s">
        <v>132</v>
      </c>
      <c r="E32" s="15">
        <v>25</v>
      </c>
      <c r="F32" s="15" t="s">
        <v>118</v>
      </c>
      <c r="G32" s="40" t="s">
        <v>168</v>
      </c>
      <c r="H32" s="36" t="s">
        <v>120</v>
      </c>
      <c r="I32" s="25">
        <v>44383</v>
      </c>
      <c r="J32" s="10">
        <v>1</v>
      </c>
      <c r="K32" s="15" t="s">
        <v>169</v>
      </c>
      <c r="L32" s="25">
        <v>44411</v>
      </c>
    </row>
    <row r="33" ht="15" spans="1:12">
      <c r="A33" s="10" t="s">
        <v>53</v>
      </c>
      <c r="B33" s="11" t="s">
        <v>60</v>
      </c>
      <c r="C33" s="10" t="s">
        <v>116</v>
      </c>
      <c r="D33" s="40" t="s">
        <v>132</v>
      </c>
      <c r="E33" s="15">
        <v>25</v>
      </c>
      <c r="F33" s="15" t="s">
        <v>118</v>
      </c>
      <c r="G33" s="40" t="s">
        <v>170</v>
      </c>
      <c r="H33" s="36" t="s">
        <v>120</v>
      </c>
      <c r="I33" s="25">
        <v>44383</v>
      </c>
      <c r="J33" s="10">
        <v>1</v>
      </c>
      <c r="K33" s="15" t="s">
        <v>171</v>
      </c>
      <c r="L33" s="25">
        <v>44411</v>
      </c>
    </row>
    <row r="34" ht="15" spans="1:12">
      <c r="A34" s="10" t="s">
        <v>53</v>
      </c>
      <c r="B34" s="11" t="s">
        <v>60</v>
      </c>
      <c r="C34" s="10" t="s">
        <v>116</v>
      </c>
      <c r="D34" s="40" t="s">
        <v>132</v>
      </c>
      <c r="E34" s="15">
        <v>25</v>
      </c>
      <c r="F34" s="15" t="s">
        <v>118</v>
      </c>
      <c r="G34" s="40" t="s">
        <v>172</v>
      </c>
      <c r="H34" s="36" t="s">
        <v>120</v>
      </c>
      <c r="I34" s="25">
        <v>44383</v>
      </c>
      <c r="J34" s="10">
        <v>1</v>
      </c>
      <c r="K34" s="15" t="s">
        <v>173</v>
      </c>
      <c r="L34" s="25">
        <v>44411</v>
      </c>
    </row>
    <row r="35" ht="15" spans="1:12">
      <c r="A35" s="10" t="s">
        <v>53</v>
      </c>
      <c r="B35" s="11" t="s">
        <v>60</v>
      </c>
      <c r="C35" s="10" t="s">
        <v>116</v>
      </c>
      <c r="D35" s="40" t="s">
        <v>132</v>
      </c>
      <c r="E35" s="15">
        <v>25</v>
      </c>
      <c r="F35" s="15" t="s">
        <v>118</v>
      </c>
      <c r="G35" s="40" t="s">
        <v>174</v>
      </c>
      <c r="H35" s="36" t="s">
        <v>120</v>
      </c>
      <c r="I35" s="25">
        <v>44383</v>
      </c>
      <c r="J35" s="10">
        <v>1</v>
      </c>
      <c r="K35" s="15" t="s">
        <v>175</v>
      </c>
      <c r="L35" s="25">
        <v>44411</v>
      </c>
    </row>
    <row r="36" ht="15" spans="1:12">
      <c r="A36" s="10" t="s">
        <v>53</v>
      </c>
      <c r="B36" s="11" t="s">
        <v>60</v>
      </c>
      <c r="C36" s="10" t="s">
        <v>116</v>
      </c>
      <c r="D36" s="40" t="s">
        <v>132</v>
      </c>
      <c r="E36" s="15">
        <v>25</v>
      </c>
      <c r="F36" s="15" t="s">
        <v>118</v>
      </c>
      <c r="G36" s="40" t="s">
        <v>176</v>
      </c>
      <c r="H36" s="36" t="s">
        <v>120</v>
      </c>
      <c r="I36" s="25">
        <v>44383</v>
      </c>
      <c r="J36" s="10">
        <v>1</v>
      </c>
      <c r="K36" s="15" t="s">
        <v>177</v>
      </c>
      <c r="L36" s="25">
        <v>44411</v>
      </c>
    </row>
    <row r="37" ht="15" spans="1:12">
      <c r="A37" s="10" t="s">
        <v>53</v>
      </c>
      <c r="B37" s="11" t="s">
        <v>60</v>
      </c>
      <c r="C37" s="10" t="s">
        <v>116</v>
      </c>
      <c r="D37" s="40" t="s">
        <v>132</v>
      </c>
      <c r="E37" s="15">
        <v>25</v>
      </c>
      <c r="F37" s="15" t="s">
        <v>118</v>
      </c>
      <c r="G37" s="40" t="s">
        <v>178</v>
      </c>
      <c r="H37" s="36" t="s">
        <v>120</v>
      </c>
      <c r="I37" s="25">
        <v>44383</v>
      </c>
      <c r="J37" s="10">
        <v>1</v>
      </c>
      <c r="K37" s="15" t="s">
        <v>179</v>
      </c>
      <c r="L37" s="25">
        <v>44411</v>
      </c>
    </row>
    <row r="38" ht="15" spans="1:12">
      <c r="A38" s="10" t="s">
        <v>53</v>
      </c>
      <c r="B38" s="11" t="s">
        <v>60</v>
      </c>
      <c r="C38" s="10" t="s">
        <v>116</v>
      </c>
      <c r="D38" s="40" t="s">
        <v>132</v>
      </c>
      <c r="E38" s="15">
        <v>25</v>
      </c>
      <c r="F38" s="15" t="s">
        <v>118</v>
      </c>
      <c r="G38" s="40" t="s">
        <v>180</v>
      </c>
      <c r="H38" s="36" t="s">
        <v>120</v>
      </c>
      <c r="I38" s="25">
        <v>44383</v>
      </c>
      <c r="J38" s="10">
        <v>1</v>
      </c>
      <c r="K38" s="15" t="s">
        <v>181</v>
      </c>
      <c r="L38" s="25">
        <v>44411</v>
      </c>
    </row>
    <row r="39" ht="15" spans="1:12">
      <c r="A39" s="10" t="s">
        <v>53</v>
      </c>
      <c r="B39" s="11" t="s">
        <v>60</v>
      </c>
      <c r="C39" s="10" t="s">
        <v>116</v>
      </c>
      <c r="D39" s="40" t="s">
        <v>132</v>
      </c>
      <c r="E39" s="15">
        <v>25</v>
      </c>
      <c r="F39" s="15" t="s">
        <v>118</v>
      </c>
      <c r="G39" s="40" t="s">
        <v>182</v>
      </c>
      <c r="H39" s="36" t="s">
        <v>120</v>
      </c>
      <c r="I39" s="25">
        <v>44383</v>
      </c>
      <c r="J39" s="10">
        <v>1</v>
      </c>
      <c r="K39" s="15" t="s">
        <v>183</v>
      </c>
      <c r="L39" s="25">
        <v>44411</v>
      </c>
    </row>
    <row r="40" ht="15" spans="1:12">
      <c r="A40" s="10" t="s">
        <v>53</v>
      </c>
      <c r="B40" s="11" t="s">
        <v>60</v>
      </c>
      <c r="C40" s="10" t="s">
        <v>116</v>
      </c>
      <c r="D40" s="40" t="s">
        <v>132</v>
      </c>
      <c r="E40" s="15">
        <v>25</v>
      </c>
      <c r="F40" s="15" t="s">
        <v>118</v>
      </c>
      <c r="G40" s="40" t="s">
        <v>184</v>
      </c>
      <c r="H40" s="36" t="s">
        <v>120</v>
      </c>
      <c r="I40" s="25">
        <v>44383</v>
      </c>
      <c r="J40" s="10">
        <v>1</v>
      </c>
      <c r="K40" s="15" t="s">
        <v>185</v>
      </c>
      <c r="L40" s="25">
        <v>44411</v>
      </c>
    </row>
    <row r="41" ht="15" spans="1:12">
      <c r="A41" s="10" t="s">
        <v>53</v>
      </c>
      <c r="B41" s="11" t="s">
        <v>60</v>
      </c>
      <c r="C41" s="10" t="s">
        <v>116</v>
      </c>
      <c r="D41" s="40" t="s">
        <v>132</v>
      </c>
      <c r="E41" s="15">
        <v>25</v>
      </c>
      <c r="F41" s="15" t="s">
        <v>118</v>
      </c>
      <c r="G41" s="40" t="s">
        <v>186</v>
      </c>
      <c r="H41" s="36" t="s">
        <v>120</v>
      </c>
      <c r="I41" s="25">
        <v>44383</v>
      </c>
      <c r="J41" s="10">
        <v>1</v>
      </c>
      <c r="K41" s="15" t="s">
        <v>187</v>
      </c>
      <c r="L41" s="25">
        <v>44411</v>
      </c>
    </row>
    <row r="42" ht="15" spans="1:12">
      <c r="A42" s="10" t="s">
        <v>53</v>
      </c>
      <c r="B42" s="11" t="s">
        <v>60</v>
      </c>
      <c r="C42" s="10" t="s">
        <v>116</v>
      </c>
      <c r="D42" s="40" t="s">
        <v>132</v>
      </c>
      <c r="E42" s="15">
        <v>25</v>
      </c>
      <c r="F42" s="15" t="s">
        <v>118</v>
      </c>
      <c r="G42" s="40" t="s">
        <v>188</v>
      </c>
      <c r="H42" s="36" t="s">
        <v>120</v>
      </c>
      <c r="I42" s="25">
        <v>44384</v>
      </c>
      <c r="J42" s="10">
        <v>1</v>
      </c>
      <c r="K42" s="15" t="s">
        <v>189</v>
      </c>
      <c r="L42" s="25">
        <v>44412</v>
      </c>
    </row>
    <row r="43" ht="15" spans="1:12">
      <c r="A43" s="10" t="s">
        <v>53</v>
      </c>
      <c r="B43" s="11" t="s">
        <v>60</v>
      </c>
      <c r="C43" s="10" t="s">
        <v>116</v>
      </c>
      <c r="D43" s="40" t="s">
        <v>132</v>
      </c>
      <c r="E43" s="15">
        <v>25</v>
      </c>
      <c r="F43" s="15" t="s">
        <v>118</v>
      </c>
      <c r="G43" s="40" t="s">
        <v>190</v>
      </c>
      <c r="H43" s="36" t="s">
        <v>120</v>
      </c>
      <c r="I43" s="25">
        <v>44384</v>
      </c>
      <c r="J43" s="10">
        <v>1</v>
      </c>
      <c r="K43" s="15" t="s">
        <v>191</v>
      </c>
      <c r="L43" s="25">
        <v>44412</v>
      </c>
    </row>
    <row r="44" ht="15" spans="1:12">
      <c r="A44" s="10" t="s">
        <v>53</v>
      </c>
      <c r="B44" s="11" t="s">
        <v>60</v>
      </c>
      <c r="C44" s="10" t="s">
        <v>116</v>
      </c>
      <c r="D44" s="40" t="s">
        <v>132</v>
      </c>
      <c r="E44" s="15">
        <v>25</v>
      </c>
      <c r="F44" s="15" t="s">
        <v>118</v>
      </c>
      <c r="G44" s="40" t="s">
        <v>192</v>
      </c>
      <c r="H44" s="36" t="s">
        <v>120</v>
      </c>
      <c r="I44" s="25">
        <v>44384</v>
      </c>
      <c r="J44" s="10">
        <v>1</v>
      </c>
      <c r="K44" s="15" t="s">
        <v>193</v>
      </c>
      <c r="L44" s="25">
        <v>44412</v>
      </c>
    </row>
    <row r="45" ht="15" spans="1:12">
      <c r="A45" s="10" t="s">
        <v>53</v>
      </c>
      <c r="B45" s="11" t="s">
        <v>60</v>
      </c>
      <c r="C45" s="10" t="s">
        <v>116</v>
      </c>
      <c r="D45" s="40" t="s">
        <v>132</v>
      </c>
      <c r="E45" s="15">
        <v>25</v>
      </c>
      <c r="F45" s="15" t="s">
        <v>118</v>
      </c>
      <c r="G45" s="40" t="s">
        <v>194</v>
      </c>
      <c r="H45" s="36" t="s">
        <v>120</v>
      </c>
      <c r="I45" s="25">
        <v>44384</v>
      </c>
      <c r="J45" s="10">
        <v>1</v>
      </c>
      <c r="K45" s="15" t="s">
        <v>195</v>
      </c>
      <c r="L45" s="25">
        <v>44412</v>
      </c>
    </row>
    <row r="46" ht="15" spans="1:12">
      <c r="A46" s="10" t="s">
        <v>53</v>
      </c>
      <c r="B46" s="11" t="s">
        <v>60</v>
      </c>
      <c r="C46" s="10" t="s">
        <v>116</v>
      </c>
      <c r="D46" s="40" t="s">
        <v>132</v>
      </c>
      <c r="E46" s="15">
        <v>25</v>
      </c>
      <c r="F46" s="15" t="s">
        <v>118</v>
      </c>
      <c r="G46" s="40" t="s">
        <v>196</v>
      </c>
      <c r="H46" s="36" t="s">
        <v>120</v>
      </c>
      <c r="I46" s="25">
        <v>44384</v>
      </c>
      <c r="J46" s="10">
        <v>1</v>
      </c>
      <c r="K46" s="15" t="s">
        <v>197</v>
      </c>
      <c r="L46" s="25">
        <v>44412</v>
      </c>
    </row>
    <row r="47" ht="15" spans="1:12">
      <c r="A47" s="10" t="s">
        <v>53</v>
      </c>
      <c r="B47" s="11" t="s">
        <v>60</v>
      </c>
      <c r="C47" s="10" t="s">
        <v>116</v>
      </c>
      <c r="D47" s="40" t="s">
        <v>132</v>
      </c>
      <c r="E47" s="15">
        <v>25</v>
      </c>
      <c r="F47" s="15" t="s">
        <v>118</v>
      </c>
      <c r="G47" s="40" t="s">
        <v>198</v>
      </c>
      <c r="H47" s="36" t="s">
        <v>120</v>
      </c>
      <c r="I47" s="25">
        <v>44384</v>
      </c>
      <c r="J47" s="10">
        <v>1</v>
      </c>
      <c r="K47" s="15" t="s">
        <v>199</v>
      </c>
      <c r="L47" s="25">
        <v>44412</v>
      </c>
    </row>
    <row r="48" ht="15" spans="1:12">
      <c r="A48" s="10" t="s">
        <v>53</v>
      </c>
      <c r="B48" s="11" t="s">
        <v>60</v>
      </c>
      <c r="C48" s="10" t="s">
        <v>116</v>
      </c>
      <c r="D48" s="40" t="s">
        <v>132</v>
      </c>
      <c r="E48" s="15">
        <v>25</v>
      </c>
      <c r="F48" s="15" t="s">
        <v>118</v>
      </c>
      <c r="G48" s="40" t="s">
        <v>200</v>
      </c>
      <c r="H48" s="36" t="s">
        <v>120</v>
      </c>
      <c r="I48" s="25">
        <v>44384</v>
      </c>
      <c r="J48" s="10">
        <v>1</v>
      </c>
      <c r="K48" s="15" t="s">
        <v>201</v>
      </c>
      <c r="L48" s="25">
        <v>44412</v>
      </c>
    </row>
    <row r="49" ht="15" spans="1:12">
      <c r="A49" s="10" t="s">
        <v>53</v>
      </c>
      <c r="B49" s="11" t="s">
        <v>60</v>
      </c>
      <c r="C49" s="10" t="s">
        <v>116</v>
      </c>
      <c r="D49" s="40" t="s">
        <v>132</v>
      </c>
      <c r="E49" s="15">
        <v>25</v>
      </c>
      <c r="F49" s="15" t="s">
        <v>118</v>
      </c>
      <c r="G49" s="40" t="s">
        <v>202</v>
      </c>
      <c r="H49" s="36" t="s">
        <v>120</v>
      </c>
      <c r="I49" s="25">
        <v>44384</v>
      </c>
      <c r="J49" s="10">
        <v>1</v>
      </c>
      <c r="K49" s="15" t="s">
        <v>203</v>
      </c>
      <c r="L49" s="25">
        <v>44412</v>
      </c>
    </row>
    <row r="50" ht="15" spans="1:12">
      <c r="A50" s="10" t="s">
        <v>53</v>
      </c>
      <c r="B50" s="11" t="s">
        <v>60</v>
      </c>
      <c r="C50" s="10" t="s">
        <v>116</v>
      </c>
      <c r="D50" s="40" t="s">
        <v>132</v>
      </c>
      <c r="E50" s="15">
        <v>25</v>
      </c>
      <c r="F50" s="15" t="s">
        <v>118</v>
      </c>
      <c r="G50" s="40" t="s">
        <v>204</v>
      </c>
      <c r="H50" s="36" t="s">
        <v>120</v>
      </c>
      <c r="I50" s="25">
        <v>44384</v>
      </c>
      <c r="J50" s="10">
        <v>1</v>
      </c>
      <c r="K50" s="15" t="s">
        <v>205</v>
      </c>
      <c r="L50" s="25">
        <v>44412</v>
      </c>
    </row>
    <row r="51" ht="15" spans="1:12">
      <c r="A51" s="10" t="s">
        <v>53</v>
      </c>
      <c r="B51" s="11" t="s">
        <v>60</v>
      </c>
      <c r="C51" s="10" t="s">
        <v>116</v>
      </c>
      <c r="D51" s="40" t="s">
        <v>132</v>
      </c>
      <c r="E51" s="15">
        <v>25</v>
      </c>
      <c r="F51" s="15" t="s">
        <v>118</v>
      </c>
      <c r="G51" s="40" t="s">
        <v>206</v>
      </c>
      <c r="H51" s="36" t="s">
        <v>120</v>
      </c>
      <c r="I51" s="25">
        <v>44384</v>
      </c>
      <c r="J51" s="10">
        <v>1</v>
      </c>
      <c r="K51" s="15" t="s">
        <v>207</v>
      </c>
      <c r="L51" s="25">
        <v>44412</v>
      </c>
    </row>
    <row r="52" ht="15" spans="1:12">
      <c r="A52" s="10" t="s">
        <v>53</v>
      </c>
      <c r="B52" s="11" t="s">
        <v>60</v>
      </c>
      <c r="C52" s="10" t="s">
        <v>116</v>
      </c>
      <c r="D52" s="40" t="s">
        <v>132</v>
      </c>
      <c r="E52" s="15">
        <v>25</v>
      </c>
      <c r="F52" s="15" t="s">
        <v>118</v>
      </c>
      <c r="G52" s="40" t="s">
        <v>208</v>
      </c>
      <c r="H52" s="36" t="s">
        <v>120</v>
      </c>
      <c r="I52" s="25">
        <v>44384</v>
      </c>
      <c r="J52" s="10">
        <v>1</v>
      </c>
      <c r="K52" s="15" t="s">
        <v>209</v>
      </c>
      <c r="L52" s="25">
        <v>44412</v>
      </c>
    </row>
    <row r="53" ht="15" spans="1:12">
      <c r="A53" s="10" t="s">
        <v>53</v>
      </c>
      <c r="B53" s="11" t="s">
        <v>60</v>
      </c>
      <c r="C53" s="10" t="s">
        <v>116</v>
      </c>
      <c r="D53" s="40" t="s">
        <v>132</v>
      </c>
      <c r="E53" s="15">
        <v>25</v>
      </c>
      <c r="F53" s="15" t="s">
        <v>118</v>
      </c>
      <c r="G53" s="40" t="s">
        <v>210</v>
      </c>
      <c r="H53" s="36" t="s">
        <v>120</v>
      </c>
      <c r="I53" s="25">
        <v>44384</v>
      </c>
      <c r="J53" s="10">
        <v>1</v>
      </c>
      <c r="K53" s="15" t="s">
        <v>211</v>
      </c>
      <c r="L53" s="25">
        <v>44412</v>
      </c>
    </row>
    <row r="54" ht="15" spans="1:12">
      <c r="A54" s="10" t="s">
        <v>53</v>
      </c>
      <c r="B54" s="11" t="s">
        <v>60</v>
      </c>
      <c r="C54" s="10" t="s">
        <v>116</v>
      </c>
      <c r="D54" s="40" t="s">
        <v>132</v>
      </c>
      <c r="E54" s="15">
        <v>25</v>
      </c>
      <c r="F54" s="15" t="s">
        <v>118</v>
      </c>
      <c r="G54" s="40" t="s">
        <v>212</v>
      </c>
      <c r="H54" s="36" t="s">
        <v>120</v>
      </c>
      <c r="I54" s="25">
        <v>44384</v>
      </c>
      <c r="J54" s="10">
        <v>1</v>
      </c>
      <c r="K54" s="15" t="s">
        <v>213</v>
      </c>
      <c r="L54" s="25">
        <v>44412</v>
      </c>
    </row>
    <row r="55" ht="15" spans="1:12">
      <c r="A55" s="10" t="s">
        <v>53</v>
      </c>
      <c r="B55" s="11" t="s">
        <v>60</v>
      </c>
      <c r="C55" s="10" t="s">
        <v>116</v>
      </c>
      <c r="D55" s="40" t="s">
        <v>132</v>
      </c>
      <c r="E55" s="15">
        <v>25</v>
      </c>
      <c r="F55" s="15" t="s">
        <v>118</v>
      </c>
      <c r="G55" s="40" t="s">
        <v>214</v>
      </c>
      <c r="H55" s="36" t="s">
        <v>120</v>
      </c>
      <c r="I55" s="25">
        <v>44384</v>
      </c>
      <c r="J55" s="10">
        <v>1</v>
      </c>
      <c r="K55" s="15" t="s">
        <v>215</v>
      </c>
      <c r="L55" s="25">
        <v>44412</v>
      </c>
    </row>
  </sheetData>
  <mergeCells count="1">
    <mergeCell ref="A1:L1"/>
  </mergeCells>
  <dataValidations count="2">
    <dataValidation type="list" allowBlank="1" showInputMessage="1" showErrorMessage="1" sqref="C4 C14 C15 C16 C17 C18 C19 C20 C21 C22 C23 C24 C25 C26 C27 C28 C29 C30 C31 C32 C33 C34 C35 C36 C37 C38 C39 C40 C41 C42 C43 C44 C45 C46 C47 C48 C49 C50 C51 C52 C53 C54 C55 C5:C13">
      <formula1>"商品砼,自拌砼"</formula1>
    </dataValidation>
    <dataValidation type="list" allowBlank="1" showInputMessage="1" showErrorMessage="1" sqref="F4 F15 F16 F17 F18 F19 F20 F21 F22 F23 F24 F25 F26 F27 F28 F29 F30 F31 F32 F33 F34 F35 F36 F37 F38 F39 F40 F41 F42 F43 F44 F45 F46 F47 F48 F49 F50 F51 F52 F53 F54 F55 F5:F14">
      <formula1>"100×100×100,150×150×150,200×200×200"</formula1>
    </dataValidation>
  </dataValidations>
  <hyperlinks>
    <hyperlink ref="M2" location="目录!A1" display="返回目录"/>
  </hyperlinks>
  <pageMargins left="0.7" right="0.7" top="0.75" bottom="0.75" header="0.3" footer="0.3"/>
  <pageSetup paperSize="9" orientation="portrait"/>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L11"/>
  <sheetViews>
    <sheetView workbookViewId="0">
      <selection activeCell="L2" sqref="L2"/>
    </sheetView>
  </sheetViews>
  <sheetFormatPr defaultColWidth="9" defaultRowHeight="13.5"/>
  <cols>
    <col min="1" max="1" width="9" style="15"/>
    <col min="2" max="2" width="35.875" style="15" customWidth="1"/>
    <col min="3" max="3" width="8.875" style="15" customWidth="1"/>
    <col min="4" max="4" width="17.75" style="15" customWidth="1"/>
    <col min="5" max="5" width="27.25" style="15" customWidth="1"/>
    <col min="6" max="6" width="9" style="15"/>
    <col min="7" max="7" width="10.125" style="15" customWidth="1"/>
    <col min="8" max="8" width="8.125" style="15" customWidth="1"/>
    <col min="9" max="9" width="11.375" style="15" customWidth="1"/>
    <col min="10" max="10" width="19.125" style="15" customWidth="1"/>
    <col min="11" max="16384" width="9" style="15"/>
  </cols>
  <sheetData>
    <row r="1" ht="27" customHeight="1" spans="1:10">
      <c r="A1" s="16" t="s">
        <v>216</v>
      </c>
      <c r="B1" s="16"/>
      <c r="C1" s="16"/>
      <c r="D1" s="16"/>
      <c r="E1" s="16"/>
      <c r="F1" s="16"/>
      <c r="G1" s="16"/>
      <c r="H1" s="16"/>
      <c r="I1" s="16"/>
      <c r="J1" s="16"/>
    </row>
    <row r="2" s="3" customFormat="1" ht="40.5" spans="1:12">
      <c r="A2" s="3" t="s">
        <v>23</v>
      </c>
      <c r="B2" s="4" t="s">
        <v>66</v>
      </c>
      <c r="C2" s="32" t="s">
        <v>217</v>
      </c>
      <c r="D2" s="32" t="s">
        <v>218</v>
      </c>
      <c r="E2" s="33" t="s">
        <v>219</v>
      </c>
      <c r="F2" s="13" t="s">
        <v>72</v>
      </c>
      <c r="G2" s="33" t="s">
        <v>114</v>
      </c>
      <c r="H2" s="34" t="s">
        <v>220</v>
      </c>
      <c r="I2" s="13" t="s">
        <v>76</v>
      </c>
      <c r="J2" s="3" t="s">
        <v>75</v>
      </c>
      <c r="L2" s="7" t="s">
        <v>83</v>
      </c>
    </row>
    <row r="3" s="3" customFormat="1" spans="1:10">
      <c r="A3" s="3">
        <v>1</v>
      </c>
      <c r="B3" s="3">
        <v>2</v>
      </c>
      <c r="C3" s="3">
        <v>3</v>
      </c>
      <c r="D3" s="3">
        <v>4</v>
      </c>
      <c r="E3" s="3">
        <v>5</v>
      </c>
      <c r="F3" s="3">
        <v>6</v>
      </c>
      <c r="G3" s="3">
        <v>7</v>
      </c>
      <c r="H3" s="3">
        <v>8</v>
      </c>
      <c r="I3" s="3">
        <v>9</v>
      </c>
      <c r="J3" s="3">
        <v>10</v>
      </c>
    </row>
    <row r="4" ht="28.5" spans="1:10">
      <c r="A4" s="10" t="s">
        <v>47</v>
      </c>
      <c r="B4" s="35" t="s">
        <v>48</v>
      </c>
      <c r="C4" s="15" t="s">
        <v>221</v>
      </c>
      <c r="D4" s="36" t="s">
        <v>222</v>
      </c>
      <c r="E4" s="37" t="s">
        <v>223</v>
      </c>
      <c r="F4" s="36" t="s">
        <v>224</v>
      </c>
      <c r="G4" s="25">
        <v>44291</v>
      </c>
      <c r="H4" s="15">
        <v>1</v>
      </c>
      <c r="I4" s="25">
        <v>44319</v>
      </c>
      <c r="J4" s="15" t="s">
        <v>225</v>
      </c>
    </row>
    <row r="5" ht="28.5" spans="1:9">
      <c r="A5" s="10" t="s">
        <v>47</v>
      </c>
      <c r="B5" s="35" t="s">
        <v>48</v>
      </c>
      <c r="C5" s="15" t="s">
        <v>221</v>
      </c>
      <c r="D5" s="36" t="s">
        <v>222</v>
      </c>
      <c r="E5" s="38" t="s">
        <v>226</v>
      </c>
      <c r="F5" s="36" t="s">
        <v>224</v>
      </c>
      <c r="G5" s="25">
        <v>44294</v>
      </c>
      <c r="H5" s="15">
        <v>1</v>
      </c>
      <c r="I5" s="25">
        <v>44322</v>
      </c>
    </row>
    <row r="6" ht="28.5" spans="1:9">
      <c r="A6" s="10" t="s">
        <v>47</v>
      </c>
      <c r="B6" s="35" t="s">
        <v>48</v>
      </c>
      <c r="C6" s="15" t="s">
        <v>221</v>
      </c>
      <c r="D6" s="36" t="s">
        <v>222</v>
      </c>
      <c r="E6" s="38" t="s">
        <v>227</v>
      </c>
      <c r="F6" s="36" t="s">
        <v>224</v>
      </c>
      <c r="G6" s="25">
        <v>44297</v>
      </c>
      <c r="H6" s="15">
        <v>1</v>
      </c>
      <c r="I6" s="25">
        <v>44325</v>
      </c>
    </row>
    <row r="7" ht="28.5" spans="1:9">
      <c r="A7" s="10" t="s">
        <v>47</v>
      </c>
      <c r="B7" s="35" t="s">
        <v>48</v>
      </c>
      <c r="C7" s="15" t="s">
        <v>221</v>
      </c>
      <c r="D7" s="36" t="s">
        <v>222</v>
      </c>
      <c r="E7" s="37" t="s">
        <v>228</v>
      </c>
      <c r="F7" s="36" t="s">
        <v>224</v>
      </c>
      <c r="G7" s="25">
        <v>44299</v>
      </c>
      <c r="H7" s="15">
        <v>1</v>
      </c>
      <c r="I7" s="25">
        <v>44327</v>
      </c>
    </row>
    <row r="8" ht="28.5" spans="1:9">
      <c r="A8" s="10" t="s">
        <v>47</v>
      </c>
      <c r="B8" s="35" t="s">
        <v>48</v>
      </c>
      <c r="C8" s="15" t="s">
        <v>221</v>
      </c>
      <c r="D8" s="36" t="s">
        <v>222</v>
      </c>
      <c r="E8" s="37" t="s">
        <v>229</v>
      </c>
      <c r="F8" s="36" t="s">
        <v>224</v>
      </c>
      <c r="G8" s="25">
        <v>44301</v>
      </c>
      <c r="H8" s="15">
        <v>1</v>
      </c>
      <c r="I8" s="25">
        <v>44329</v>
      </c>
    </row>
    <row r="9" ht="28.5" spans="1:9">
      <c r="A9" s="10" t="s">
        <v>47</v>
      </c>
      <c r="B9" s="35" t="s">
        <v>48</v>
      </c>
      <c r="C9" s="15" t="s">
        <v>221</v>
      </c>
      <c r="D9" s="36" t="s">
        <v>222</v>
      </c>
      <c r="E9" s="37" t="s">
        <v>230</v>
      </c>
      <c r="F9" s="36" t="s">
        <v>224</v>
      </c>
      <c r="G9" s="25">
        <v>44302</v>
      </c>
      <c r="H9" s="15">
        <v>1</v>
      </c>
      <c r="I9" s="25">
        <v>44330</v>
      </c>
    </row>
    <row r="10" ht="28.5" spans="1:9">
      <c r="A10" s="10" t="s">
        <v>47</v>
      </c>
      <c r="B10" s="35" t="s">
        <v>48</v>
      </c>
      <c r="C10" s="15" t="s">
        <v>221</v>
      </c>
      <c r="D10" s="36" t="s">
        <v>222</v>
      </c>
      <c r="E10" s="37" t="s">
        <v>231</v>
      </c>
      <c r="F10" s="36" t="s">
        <v>224</v>
      </c>
      <c r="G10" s="25">
        <v>44305</v>
      </c>
      <c r="H10" s="15">
        <v>1</v>
      </c>
      <c r="I10" s="25">
        <v>44333</v>
      </c>
    </row>
    <row r="11" ht="28.5" spans="1:9">
      <c r="A11" s="10" t="s">
        <v>49</v>
      </c>
      <c r="B11" s="35" t="s">
        <v>50</v>
      </c>
      <c r="C11" s="15" t="s">
        <v>221</v>
      </c>
      <c r="D11" s="36" t="s">
        <v>222</v>
      </c>
      <c r="E11" s="39" t="s">
        <v>232</v>
      </c>
      <c r="F11" s="36" t="s">
        <v>224</v>
      </c>
      <c r="G11" s="25">
        <v>44348</v>
      </c>
      <c r="H11" s="15">
        <v>1</v>
      </c>
      <c r="I11" s="25">
        <v>44376</v>
      </c>
    </row>
  </sheetData>
  <mergeCells count="1">
    <mergeCell ref="A1:J1"/>
  </mergeCells>
  <hyperlinks>
    <hyperlink ref="L2" location="目录!A1" display="返回目录"/>
  </hyperlinks>
  <pageMargins left="0.75" right="0.75" top="1" bottom="1" header="0.5" footer="0.5"/>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N5"/>
  <sheetViews>
    <sheetView workbookViewId="0">
      <selection activeCell="N2" sqref="N2"/>
    </sheetView>
  </sheetViews>
  <sheetFormatPr defaultColWidth="9" defaultRowHeight="13.5" outlineLevelRow="4"/>
  <cols>
    <col min="1" max="1" width="9" style="15"/>
    <col min="2" max="2" width="30.75" style="15" customWidth="1"/>
    <col min="3" max="4" width="9" style="15"/>
    <col min="5" max="5" width="17.5" style="15" customWidth="1"/>
    <col min="6" max="8" width="9" style="15"/>
    <col min="9" max="9" width="15.25" style="15" customWidth="1"/>
    <col min="10" max="10" width="9" style="15"/>
    <col min="11" max="11" width="11.25" style="15" customWidth="1"/>
    <col min="12" max="12" width="20.625" style="15" customWidth="1"/>
    <col min="13" max="16384" width="9" style="15"/>
  </cols>
  <sheetData>
    <row r="1" ht="25" customHeight="1" spans="1:12">
      <c r="A1" s="16" t="s">
        <v>233</v>
      </c>
      <c r="B1" s="16"/>
      <c r="C1" s="16"/>
      <c r="D1" s="16"/>
      <c r="E1" s="16"/>
      <c r="F1" s="16"/>
      <c r="G1" s="16"/>
      <c r="H1" s="16"/>
      <c r="I1" s="16"/>
      <c r="J1" s="16"/>
      <c r="K1" s="16"/>
      <c r="L1" s="16"/>
    </row>
    <row r="2" s="3" customFormat="1" ht="26" customHeight="1" spans="1:14">
      <c r="A2" s="3" t="s">
        <v>23</v>
      </c>
      <c r="B2" s="4" t="s">
        <v>66</v>
      </c>
      <c r="C2" s="13" t="s">
        <v>234</v>
      </c>
      <c r="D2" s="30" t="s">
        <v>235</v>
      </c>
      <c r="E2" s="30" t="s">
        <v>70</v>
      </c>
      <c r="F2" s="30" t="s">
        <v>236</v>
      </c>
      <c r="G2" s="30" t="s">
        <v>237</v>
      </c>
      <c r="H2" s="30" t="s">
        <v>72</v>
      </c>
      <c r="I2" s="30" t="s">
        <v>73</v>
      </c>
      <c r="J2" s="30" t="s">
        <v>220</v>
      </c>
      <c r="K2" s="31" t="s">
        <v>76</v>
      </c>
      <c r="L2" s="3" t="s">
        <v>75</v>
      </c>
      <c r="N2" s="7" t="s">
        <v>83</v>
      </c>
    </row>
    <row r="3" s="3" customFormat="1" ht="26" customHeight="1" spans="1:12">
      <c r="A3" s="3">
        <v>1</v>
      </c>
      <c r="B3" s="3">
        <v>2</v>
      </c>
      <c r="C3" s="3">
        <v>3</v>
      </c>
      <c r="D3" s="3">
        <v>4</v>
      </c>
      <c r="E3" s="3">
        <v>5</v>
      </c>
      <c r="F3" s="3">
        <v>6</v>
      </c>
      <c r="G3" s="3">
        <v>7</v>
      </c>
      <c r="H3" s="3">
        <v>8</v>
      </c>
      <c r="I3" s="3">
        <v>9</v>
      </c>
      <c r="J3" s="3">
        <v>10</v>
      </c>
      <c r="K3" s="3">
        <v>11</v>
      </c>
      <c r="L3" s="3">
        <v>12</v>
      </c>
    </row>
    <row r="4" ht="33" customHeight="1" spans="1:12">
      <c r="A4" s="10" t="s">
        <v>51</v>
      </c>
      <c r="B4" s="11" t="s">
        <v>52</v>
      </c>
      <c r="C4" s="19" t="s">
        <v>238</v>
      </c>
      <c r="D4" s="12" t="s">
        <v>239</v>
      </c>
      <c r="E4" s="15" t="s">
        <v>240</v>
      </c>
      <c r="F4" s="15" t="s">
        <v>241</v>
      </c>
      <c r="G4" s="15" t="s">
        <v>241</v>
      </c>
      <c r="H4" s="15" t="s">
        <v>242</v>
      </c>
      <c r="I4" s="15" t="s">
        <v>81</v>
      </c>
      <c r="J4" s="15">
        <v>1</v>
      </c>
      <c r="K4" s="25">
        <v>44287</v>
      </c>
      <c r="L4" s="15" t="s">
        <v>243</v>
      </c>
    </row>
    <row r="5" ht="27" spans="1:12">
      <c r="A5" s="10" t="s">
        <v>34</v>
      </c>
      <c r="B5" s="10" t="s">
        <v>35</v>
      </c>
      <c r="C5" s="19" t="s">
        <v>238</v>
      </c>
      <c r="D5" s="12" t="s">
        <v>239</v>
      </c>
      <c r="E5" s="15" t="s">
        <v>240</v>
      </c>
      <c r="F5" s="15" t="s">
        <v>241</v>
      </c>
      <c r="G5" s="15" t="s">
        <v>241</v>
      </c>
      <c r="H5" s="15" t="s">
        <v>242</v>
      </c>
      <c r="I5" s="15" t="s">
        <v>81</v>
      </c>
      <c r="J5" s="15">
        <v>1</v>
      </c>
      <c r="K5" s="25">
        <v>44328</v>
      </c>
      <c r="L5" s="15" t="s">
        <v>244</v>
      </c>
    </row>
  </sheetData>
  <mergeCells count="1">
    <mergeCell ref="A1:L1"/>
  </mergeCells>
  <hyperlinks>
    <hyperlink ref="N2" location="目录!A1" display="返回目录"/>
  </hyperlinks>
  <pageMargins left="0.75" right="0.75" top="1" bottom="1" header="0.5" footer="0.5"/>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A1:N5"/>
  <sheetViews>
    <sheetView workbookViewId="0">
      <selection activeCell="N2" sqref="N2"/>
    </sheetView>
  </sheetViews>
  <sheetFormatPr defaultColWidth="9" defaultRowHeight="13.5" outlineLevelRow="4"/>
  <cols>
    <col min="1" max="1" width="9" style="15"/>
    <col min="2" max="2" width="31.375" style="15" customWidth="1"/>
    <col min="3" max="3" width="9" style="15"/>
    <col min="4" max="4" width="10.125" style="15" customWidth="1"/>
    <col min="5" max="5" width="19.375" style="15" customWidth="1"/>
    <col min="6" max="10" width="9" style="15"/>
    <col min="11" max="11" width="13.125" style="15" customWidth="1"/>
    <col min="12" max="12" width="19.875" style="15" customWidth="1"/>
    <col min="13" max="16384" width="9" style="15"/>
  </cols>
  <sheetData>
    <row r="1" ht="22" customHeight="1" spans="1:12">
      <c r="A1" s="16" t="s">
        <v>245</v>
      </c>
      <c r="B1" s="16"/>
      <c r="C1" s="16"/>
      <c r="D1" s="16"/>
      <c r="E1" s="16"/>
      <c r="F1" s="16"/>
      <c r="G1" s="16"/>
      <c r="H1" s="16"/>
      <c r="I1" s="16"/>
      <c r="J1" s="16"/>
      <c r="K1" s="16"/>
      <c r="L1" s="16"/>
    </row>
    <row r="2" ht="25" customHeight="1" spans="1:14">
      <c r="A2" s="3" t="s">
        <v>23</v>
      </c>
      <c r="B2" s="4" t="s">
        <v>66</v>
      </c>
      <c r="C2" s="13" t="s">
        <v>234</v>
      </c>
      <c r="D2" s="30" t="s">
        <v>235</v>
      </c>
      <c r="E2" s="30" t="s">
        <v>70</v>
      </c>
      <c r="F2" s="30" t="s">
        <v>236</v>
      </c>
      <c r="G2" s="30" t="s">
        <v>237</v>
      </c>
      <c r="H2" s="30" t="s">
        <v>72</v>
      </c>
      <c r="I2" s="30" t="s">
        <v>73</v>
      </c>
      <c r="J2" s="30" t="s">
        <v>220</v>
      </c>
      <c r="K2" s="31" t="s">
        <v>76</v>
      </c>
      <c r="L2" s="3" t="s">
        <v>75</v>
      </c>
      <c r="N2" s="7" t="s">
        <v>83</v>
      </c>
    </row>
    <row r="3" ht="25" customHeight="1" spans="1:12">
      <c r="A3" s="3">
        <v>1</v>
      </c>
      <c r="B3" s="3">
        <v>2</v>
      </c>
      <c r="C3" s="3">
        <v>3</v>
      </c>
      <c r="D3" s="3">
        <v>4</v>
      </c>
      <c r="E3" s="3">
        <v>5</v>
      </c>
      <c r="F3" s="3">
        <v>6</v>
      </c>
      <c r="G3" s="3">
        <v>7</v>
      </c>
      <c r="H3" s="3">
        <v>8</v>
      </c>
      <c r="I3" s="3">
        <v>9</v>
      </c>
      <c r="J3" s="3">
        <v>10</v>
      </c>
      <c r="K3" s="3">
        <v>11</v>
      </c>
      <c r="L3" s="3">
        <v>12</v>
      </c>
    </row>
    <row r="4" ht="51" customHeight="1" spans="1:12">
      <c r="A4" s="10" t="s">
        <v>51</v>
      </c>
      <c r="B4" s="11" t="s">
        <v>52</v>
      </c>
      <c r="C4" s="19" t="s">
        <v>238</v>
      </c>
      <c r="D4" s="12" t="s">
        <v>246</v>
      </c>
      <c r="E4" s="15" t="s">
        <v>240</v>
      </c>
      <c r="F4" s="15" t="s">
        <v>241</v>
      </c>
      <c r="G4" s="15" t="s">
        <v>241</v>
      </c>
      <c r="H4" s="15" t="s">
        <v>242</v>
      </c>
      <c r="I4" s="15" t="s">
        <v>81</v>
      </c>
      <c r="J4" s="15">
        <v>1</v>
      </c>
      <c r="K4" s="25">
        <v>44287</v>
      </c>
      <c r="L4" s="15" t="s">
        <v>247</v>
      </c>
    </row>
    <row r="5" ht="27" spans="1:12">
      <c r="A5" s="10" t="s">
        <v>34</v>
      </c>
      <c r="B5" s="10" t="s">
        <v>35</v>
      </c>
      <c r="C5" s="19" t="s">
        <v>238</v>
      </c>
      <c r="D5" s="12" t="s">
        <v>246</v>
      </c>
      <c r="E5" s="15" t="s">
        <v>240</v>
      </c>
      <c r="F5" s="15" t="s">
        <v>241</v>
      </c>
      <c r="G5" s="15" t="s">
        <v>241</v>
      </c>
      <c r="H5" s="15" t="s">
        <v>242</v>
      </c>
      <c r="I5" s="15" t="s">
        <v>81</v>
      </c>
      <c r="J5" s="15">
        <v>1</v>
      </c>
      <c r="K5" s="25">
        <v>44328</v>
      </c>
      <c r="L5" s="15" t="s">
        <v>248</v>
      </c>
    </row>
  </sheetData>
  <mergeCells count="1">
    <mergeCell ref="A1:L1"/>
  </mergeCells>
  <hyperlinks>
    <hyperlink ref="N2" location="目录!A1" display="返回目录"/>
  </hyperlinks>
  <pageMargins left="0.75" right="0.75" top="1" bottom="1" header="0.5" footer="0.5"/>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A1:N20"/>
  <sheetViews>
    <sheetView workbookViewId="0">
      <selection activeCell="K5" sqref="K5"/>
    </sheetView>
  </sheetViews>
  <sheetFormatPr defaultColWidth="9" defaultRowHeight="13.5"/>
  <cols>
    <col min="1" max="1" width="9" style="15"/>
    <col min="2" max="2" width="34.375" style="15" customWidth="1"/>
    <col min="3" max="5" width="9" style="15"/>
    <col min="6" max="6" width="24.125" style="15" customWidth="1"/>
    <col min="7" max="7" width="13" style="15" customWidth="1"/>
    <col min="8" max="11" width="9" style="15"/>
    <col min="12" max="12" width="20" style="15" customWidth="1"/>
    <col min="13" max="13" width="12.875" style="15" customWidth="1"/>
    <col min="14" max="16384" width="9" style="15"/>
  </cols>
  <sheetData>
    <row r="1" ht="26" customHeight="1" spans="1:12">
      <c r="A1" s="2" t="s">
        <v>249</v>
      </c>
      <c r="B1" s="2"/>
      <c r="C1" s="2"/>
      <c r="D1" s="2"/>
      <c r="E1" s="2"/>
      <c r="F1" s="2"/>
      <c r="G1" s="2"/>
      <c r="H1" s="2"/>
      <c r="I1" s="2"/>
      <c r="J1" s="2"/>
      <c r="K1" s="2"/>
      <c r="L1" s="2"/>
    </row>
    <row r="2" s="3" customFormat="1" ht="29" customHeight="1" spans="1:14">
      <c r="A2" s="3" t="s">
        <v>23</v>
      </c>
      <c r="B2" s="4" t="s">
        <v>66</v>
      </c>
      <c r="C2" s="9" t="s">
        <v>235</v>
      </c>
      <c r="D2" s="9" t="s">
        <v>234</v>
      </c>
      <c r="E2" s="9" t="s">
        <v>250</v>
      </c>
      <c r="F2" s="9" t="s">
        <v>70</v>
      </c>
      <c r="G2" s="26" t="s">
        <v>236</v>
      </c>
      <c r="H2" s="26" t="s">
        <v>237</v>
      </c>
      <c r="I2" s="9" t="s">
        <v>72</v>
      </c>
      <c r="J2" s="9" t="s">
        <v>73</v>
      </c>
      <c r="K2" s="9" t="s">
        <v>220</v>
      </c>
      <c r="L2" s="3" t="s">
        <v>75</v>
      </c>
      <c r="M2" s="29" t="s">
        <v>76</v>
      </c>
      <c r="N2" s="7" t="s">
        <v>83</v>
      </c>
    </row>
    <row r="3" s="3" customFormat="1" ht="29" customHeight="1" spans="1:13">
      <c r="A3" s="3">
        <v>1</v>
      </c>
      <c r="B3" s="3">
        <v>2</v>
      </c>
      <c r="C3" s="3">
        <v>3</v>
      </c>
      <c r="D3" s="3">
        <v>4</v>
      </c>
      <c r="E3" s="3">
        <v>5</v>
      </c>
      <c r="F3" s="3">
        <v>6</v>
      </c>
      <c r="G3" s="3">
        <v>7</v>
      </c>
      <c r="H3" s="3">
        <v>8</v>
      </c>
      <c r="I3" s="3">
        <v>9</v>
      </c>
      <c r="J3" s="3">
        <v>10</v>
      </c>
      <c r="K3" s="3">
        <v>11</v>
      </c>
      <c r="L3" s="3">
        <v>13</v>
      </c>
      <c r="M3" s="3">
        <v>12</v>
      </c>
    </row>
    <row r="4" ht="37" customHeight="1" spans="1:13">
      <c r="A4" s="10" t="s">
        <v>51</v>
      </c>
      <c r="B4" s="11" t="s">
        <v>52</v>
      </c>
      <c r="C4" s="15" t="s">
        <v>251</v>
      </c>
      <c r="D4" s="15" t="str">
        <f t="shared" ref="D4:D19" si="0">LEFT(C4,LEN(C4)-IF(RIGHT(C4,1)="R",5,4))</f>
        <v>PO</v>
      </c>
      <c r="E4" s="15" t="str">
        <f t="shared" ref="E4:E25" si="1">IF(RIGHT(C4,1)="R",RIGHT($C4,5),RIGHT($C4,4))</f>
        <v>42.5</v>
      </c>
      <c r="F4" s="15" t="s">
        <v>252</v>
      </c>
      <c r="G4" s="25">
        <v>44328</v>
      </c>
      <c r="H4" s="15" t="s">
        <v>253</v>
      </c>
      <c r="I4" s="15" t="s">
        <v>254</v>
      </c>
      <c r="J4" s="15" t="s">
        <v>81</v>
      </c>
      <c r="K4" s="15">
        <v>1</v>
      </c>
      <c r="L4" s="19" t="s">
        <v>255</v>
      </c>
      <c r="M4" s="25">
        <v>44328</v>
      </c>
    </row>
    <row r="5" ht="37" customHeight="1" spans="1:13">
      <c r="A5" s="10" t="s">
        <v>51</v>
      </c>
      <c r="B5" s="11" t="s">
        <v>52</v>
      </c>
      <c r="C5" s="15" t="s">
        <v>256</v>
      </c>
      <c r="D5" s="15" t="str">
        <f t="shared" si="0"/>
        <v>PSA</v>
      </c>
      <c r="E5" s="15" t="str">
        <f t="shared" si="1"/>
        <v>32.5R</v>
      </c>
      <c r="F5" s="15" t="s">
        <v>257</v>
      </c>
      <c r="G5" s="25">
        <v>44328</v>
      </c>
      <c r="H5" s="15" t="s">
        <v>258</v>
      </c>
      <c r="I5" s="15" t="s">
        <v>254</v>
      </c>
      <c r="J5" s="15" t="s">
        <v>81</v>
      </c>
      <c r="K5" s="15">
        <v>1</v>
      </c>
      <c r="L5" s="19" t="s">
        <v>259</v>
      </c>
      <c r="M5" s="25">
        <v>44328</v>
      </c>
    </row>
    <row r="6" ht="27" spans="1:13">
      <c r="A6" s="10" t="s">
        <v>34</v>
      </c>
      <c r="B6" s="10" t="s">
        <v>35</v>
      </c>
      <c r="C6" s="15" t="s">
        <v>251</v>
      </c>
      <c r="D6" s="15" t="str">
        <f t="shared" si="0"/>
        <v>PO</v>
      </c>
      <c r="E6" s="15" t="str">
        <f t="shared" si="1"/>
        <v>42.5</v>
      </c>
      <c r="F6" s="15" t="s">
        <v>252</v>
      </c>
      <c r="G6" s="25">
        <v>44328</v>
      </c>
      <c r="H6" s="15" t="s">
        <v>253</v>
      </c>
      <c r="I6" s="15" t="s">
        <v>254</v>
      </c>
      <c r="J6" s="15" t="s">
        <v>81</v>
      </c>
      <c r="K6" s="15">
        <v>1</v>
      </c>
      <c r="L6" s="19" t="s">
        <v>260</v>
      </c>
      <c r="M6" s="25">
        <v>44328</v>
      </c>
    </row>
    <row r="7" ht="25.5" spans="1:13">
      <c r="A7" s="10" t="s">
        <v>53</v>
      </c>
      <c r="B7" s="15" t="s">
        <v>54</v>
      </c>
      <c r="C7" s="15" t="s">
        <v>261</v>
      </c>
      <c r="D7" s="15" t="str">
        <f t="shared" si="0"/>
        <v>M</v>
      </c>
      <c r="E7" s="15" t="str">
        <f t="shared" si="1"/>
        <v>32.5</v>
      </c>
      <c r="F7" s="27" t="s">
        <v>262</v>
      </c>
      <c r="G7" s="25">
        <v>44339</v>
      </c>
      <c r="H7" s="28" t="s">
        <v>263</v>
      </c>
      <c r="I7" s="28" t="s">
        <v>254</v>
      </c>
      <c r="J7" s="28" t="s">
        <v>264</v>
      </c>
      <c r="K7" s="28">
        <v>1</v>
      </c>
      <c r="L7" s="19" t="s">
        <v>265</v>
      </c>
      <c r="M7" s="25">
        <v>44372</v>
      </c>
    </row>
    <row r="8" ht="25.5" spans="1:13">
      <c r="A8" s="10" t="s">
        <v>53</v>
      </c>
      <c r="B8" s="15" t="s">
        <v>54</v>
      </c>
      <c r="C8" s="15" t="s">
        <v>261</v>
      </c>
      <c r="D8" s="15" t="str">
        <f t="shared" si="0"/>
        <v>M</v>
      </c>
      <c r="E8" s="15" t="str">
        <f t="shared" si="1"/>
        <v>32.5</v>
      </c>
      <c r="F8" s="27" t="s">
        <v>262</v>
      </c>
      <c r="G8" s="25">
        <v>44371</v>
      </c>
      <c r="H8" s="28" t="s">
        <v>263</v>
      </c>
      <c r="I8" s="28" t="s">
        <v>254</v>
      </c>
      <c r="J8" s="28" t="s">
        <v>264</v>
      </c>
      <c r="K8" s="28">
        <v>1</v>
      </c>
      <c r="L8" s="19" t="s">
        <v>266</v>
      </c>
      <c r="M8" s="25">
        <v>44372</v>
      </c>
    </row>
    <row r="9" ht="25.5" spans="1:13">
      <c r="A9" s="10" t="s">
        <v>53</v>
      </c>
      <c r="B9" s="15" t="s">
        <v>54</v>
      </c>
      <c r="C9" s="15" t="s">
        <v>261</v>
      </c>
      <c r="D9" s="15" t="str">
        <f t="shared" si="0"/>
        <v>M</v>
      </c>
      <c r="E9" s="15" t="str">
        <f t="shared" si="1"/>
        <v>32.5</v>
      </c>
      <c r="F9" s="27" t="s">
        <v>262</v>
      </c>
      <c r="G9" s="25">
        <v>44372</v>
      </c>
      <c r="H9" s="28" t="s">
        <v>263</v>
      </c>
      <c r="I9" s="28" t="s">
        <v>254</v>
      </c>
      <c r="J9" s="28" t="s">
        <v>264</v>
      </c>
      <c r="K9" s="28">
        <v>1</v>
      </c>
      <c r="L9" s="19" t="s">
        <v>267</v>
      </c>
      <c r="M9" s="25">
        <v>44372</v>
      </c>
    </row>
    <row r="10" ht="25.5" spans="1:13">
      <c r="A10" s="10" t="s">
        <v>53</v>
      </c>
      <c r="B10" s="15" t="s">
        <v>54</v>
      </c>
      <c r="C10" s="15" t="s">
        <v>261</v>
      </c>
      <c r="D10" s="15" t="str">
        <f t="shared" si="0"/>
        <v>M</v>
      </c>
      <c r="E10" s="15" t="str">
        <f t="shared" si="1"/>
        <v>32.5</v>
      </c>
      <c r="F10" s="27" t="s">
        <v>262</v>
      </c>
      <c r="G10" s="25">
        <v>44375</v>
      </c>
      <c r="H10" s="28" t="s">
        <v>268</v>
      </c>
      <c r="I10" s="28" t="s">
        <v>269</v>
      </c>
      <c r="J10" s="28" t="s">
        <v>264</v>
      </c>
      <c r="K10" s="28">
        <v>1</v>
      </c>
      <c r="L10" s="19" t="s">
        <v>270</v>
      </c>
      <c r="M10" s="25">
        <v>44384</v>
      </c>
    </row>
    <row r="11" ht="25.5" spans="1:13">
      <c r="A11" s="10" t="s">
        <v>53</v>
      </c>
      <c r="B11" s="15" t="s">
        <v>54</v>
      </c>
      <c r="C11" s="15" t="s">
        <v>261</v>
      </c>
      <c r="D11" s="15" t="str">
        <f t="shared" si="0"/>
        <v>M</v>
      </c>
      <c r="E11" s="15" t="str">
        <f t="shared" si="1"/>
        <v>32.5</v>
      </c>
      <c r="F11" s="27" t="s">
        <v>262</v>
      </c>
      <c r="G11" s="25">
        <v>44381</v>
      </c>
      <c r="H11" s="28" t="s">
        <v>271</v>
      </c>
      <c r="I11" s="28" t="s">
        <v>269</v>
      </c>
      <c r="J11" s="28" t="s">
        <v>264</v>
      </c>
      <c r="K11" s="28">
        <v>1</v>
      </c>
      <c r="L11" s="19" t="s">
        <v>272</v>
      </c>
      <c r="M11" s="25">
        <v>44384</v>
      </c>
    </row>
    <row r="12" ht="25.5" spans="1:13">
      <c r="A12" s="10" t="s">
        <v>53</v>
      </c>
      <c r="B12" s="15" t="s">
        <v>54</v>
      </c>
      <c r="C12" s="15" t="s">
        <v>261</v>
      </c>
      <c r="D12" s="15" t="str">
        <f t="shared" si="0"/>
        <v>M</v>
      </c>
      <c r="E12" s="15" t="str">
        <f t="shared" si="1"/>
        <v>32.5</v>
      </c>
      <c r="F12" s="27" t="s">
        <v>262</v>
      </c>
      <c r="G12" s="25">
        <v>44384</v>
      </c>
      <c r="H12" s="28" t="s">
        <v>271</v>
      </c>
      <c r="I12" s="28" t="s">
        <v>269</v>
      </c>
      <c r="J12" s="28" t="s">
        <v>264</v>
      </c>
      <c r="K12" s="28">
        <v>1</v>
      </c>
      <c r="L12" s="19" t="s">
        <v>273</v>
      </c>
      <c r="M12" s="25">
        <v>44384</v>
      </c>
    </row>
    <row r="13" ht="25.5" spans="1:13">
      <c r="A13" s="10" t="s">
        <v>53</v>
      </c>
      <c r="B13" s="15" t="s">
        <v>54</v>
      </c>
      <c r="C13" s="15" t="s">
        <v>261</v>
      </c>
      <c r="D13" s="15" t="str">
        <f t="shared" si="0"/>
        <v>M</v>
      </c>
      <c r="E13" s="15" t="str">
        <f t="shared" si="1"/>
        <v>32.5</v>
      </c>
      <c r="F13" s="27" t="s">
        <v>262</v>
      </c>
      <c r="G13" s="25">
        <v>44396</v>
      </c>
      <c r="H13" s="28" t="s">
        <v>271</v>
      </c>
      <c r="I13" s="28" t="s">
        <v>269</v>
      </c>
      <c r="J13" s="28" t="s">
        <v>264</v>
      </c>
      <c r="K13" s="28">
        <v>1</v>
      </c>
      <c r="L13" s="19" t="s">
        <v>274</v>
      </c>
      <c r="M13" s="25">
        <v>44403</v>
      </c>
    </row>
    <row r="14" ht="25.5" spans="1:13">
      <c r="A14" s="10" t="s">
        <v>53</v>
      </c>
      <c r="B14" s="15" t="s">
        <v>54</v>
      </c>
      <c r="C14" s="15" t="s">
        <v>261</v>
      </c>
      <c r="D14" s="15" t="str">
        <f t="shared" si="0"/>
        <v>M</v>
      </c>
      <c r="E14" s="15" t="str">
        <f t="shared" si="1"/>
        <v>32.5</v>
      </c>
      <c r="F14" s="27" t="s">
        <v>262</v>
      </c>
      <c r="G14" s="25">
        <v>44403</v>
      </c>
      <c r="H14" s="28" t="s">
        <v>271</v>
      </c>
      <c r="I14" s="28" t="s">
        <v>269</v>
      </c>
      <c r="J14" s="28" t="s">
        <v>264</v>
      </c>
      <c r="K14" s="28">
        <v>1</v>
      </c>
      <c r="L14" s="19" t="s">
        <v>275</v>
      </c>
      <c r="M14" s="25">
        <v>44403</v>
      </c>
    </row>
    <row r="15" spans="5:5">
      <c r="E15" s="15" t="str">
        <f t="shared" si="1"/>
        <v/>
      </c>
    </row>
    <row r="16" spans="5:5">
      <c r="E16" s="15" t="str">
        <f t="shared" si="1"/>
        <v/>
      </c>
    </row>
    <row r="17" spans="5:5">
      <c r="E17" s="15" t="str">
        <f t="shared" si="1"/>
        <v/>
      </c>
    </row>
    <row r="18" spans="5:5">
      <c r="E18" s="15" t="str">
        <f t="shared" si="1"/>
        <v/>
      </c>
    </row>
    <row r="19" spans="5:5">
      <c r="E19" s="15" t="str">
        <f t="shared" si="1"/>
        <v/>
      </c>
    </row>
    <row r="20" spans="5:5">
      <c r="E20" s="15" t="str">
        <f t="shared" si="1"/>
        <v/>
      </c>
    </row>
  </sheetData>
  <mergeCells count="1">
    <mergeCell ref="A1:L1"/>
  </mergeCells>
  <hyperlinks>
    <hyperlink ref="N2" location="目录!A1" display="返回目录"/>
  </hyperlinks>
  <pageMargins left="0.75" right="0.75" top="1" bottom="1" header="0.5" footer="0.5"/>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A1:T6"/>
  <sheetViews>
    <sheetView workbookViewId="0">
      <selection activeCell="B10" sqref="B10"/>
    </sheetView>
  </sheetViews>
  <sheetFormatPr defaultColWidth="9" defaultRowHeight="13.5" outlineLevelRow="5"/>
  <cols>
    <col min="1" max="1" width="9" style="15"/>
    <col min="2" max="2" width="37.875" style="15" customWidth="1"/>
    <col min="3" max="5" width="9" style="15"/>
    <col min="6" max="6" width="28" style="15" customWidth="1"/>
    <col min="7" max="7" width="9" style="15"/>
    <col min="8" max="8" width="13.625" style="15" customWidth="1" outlineLevel="1"/>
    <col min="9" max="9" width="9" style="15" outlineLevel="1"/>
    <col min="10" max="10" width="21.125" style="15" customWidth="1"/>
    <col min="11" max="11" width="18.875" style="24" customWidth="1"/>
    <col min="12" max="12" width="18.75" style="15" customWidth="1"/>
    <col min="13" max="13" width="9" style="15"/>
    <col min="14" max="14" width="19.125" style="15" customWidth="1"/>
    <col min="15" max="15" width="17" style="15" customWidth="1"/>
    <col min="16" max="16" width="13.25" style="15" customWidth="1"/>
    <col min="17" max="17" width="18.625" style="15" customWidth="1"/>
    <col min="18" max="18" width="11.25" style="15" customWidth="1"/>
    <col min="19" max="19" width="19.875" style="15" customWidth="1"/>
    <col min="20" max="16384" width="9" style="15"/>
  </cols>
  <sheetData>
    <row r="1" ht="18.75" spans="1:18">
      <c r="A1" s="16" t="s">
        <v>276</v>
      </c>
      <c r="B1" s="16"/>
      <c r="C1" s="16"/>
      <c r="D1" s="16"/>
      <c r="E1" s="16"/>
      <c r="F1" s="16"/>
      <c r="G1" s="16"/>
      <c r="H1" s="16"/>
      <c r="I1" s="16"/>
      <c r="J1" s="16"/>
      <c r="K1" s="16"/>
      <c r="L1" s="16"/>
      <c r="M1" s="16"/>
      <c r="N1" s="16"/>
      <c r="O1" s="16"/>
      <c r="P1" s="16"/>
      <c r="Q1" s="16"/>
      <c r="R1" s="16"/>
    </row>
    <row r="2" s="3" customFormat="1" ht="24" customHeight="1" spans="1:20">
      <c r="A2" s="3" t="s">
        <v>23</v>
      </c>
      <c r="B2" s="4" t="s">
        <v>66</v>
      </c>
      <c r="C2" s="3" t="s">
        <v>277</v>
      </c>
      <c r="D2" s="3" t="s">
        <v>278</v>
      </c>
      <c r="E2" s="3" t="s">
        <v>279</v>
      </c>
      <c r="F2" s="3" t="s">
        <v>280</v>
      </c>
      <c r="K2" s="21"/>
      <c r="L2" s="3" t="s">
        <v>281</v>
      </c>
      <c r="O2" s="3" t="s">
        <v>282</v>
      </c>
      <c r="R2" s="3" t="s">
        <v>76</v>
      </c>
      <c r="S2" s="3" t="s">
        <v>75</v>
      </c>
      <c r="T2" s="7" t="s">
        <v>83</v>
      </c>
    </row>
    <row r="3" s="3" customFormat="1" ht="24" customHeight="1" spans="2:17">
      <c r="B3" s="4"/>
      <c r="F3" s="17" t="s">
        <v>70</v>
      </c>
      <c r="G3" s="18" t="s">
        <v>283</v>
      </c>
      <c r="H3" s="18" t="s">
        <v>236</v>
      </c>
      <c r="I3" s="18" t="s">
        <v>284</v>
      </c>
      <c r="J3" s="17" t="s">
        <v>285</v>
      </c>
      <c r="K3" s="22" t="s">
        <v>75</v>
      </c>
      <c r="L3" s="17" t="s">
        <v>286</v>
      </c>
      <c r="M3" s="13" t="s">
        <v>287</v>
      </c>
      <c r="N3" s="17" t="s">
        <v>75</v>
      </c>
      <c r="O3" s="17" t="s">
        <v>286</v>
      </c>
      <c r="P3" s="13" t="s">
        <v>287</v>
      </c>
      <c r="Q3" s="17" t="s">
        <v>75</v>
      </c>
    </row>
    <row r="4" spans="1:19">
      <c r="A4" s="10">
        <v>1</v>
      </c>
      <c r="B4" s="10">
        <v>2</v>
      </c>
      <c r="C4" s="10">
        <v>3</v>
      </c>
      <c r="D4" s="10">
        <v>4</v>
      </c>
      <c r="E4" s="10">
        <v>5</v>
      </c>
      <c r="F4" s="10">
        <v>6</v>
      </c>
      <c r="G4" s="10">
        <v>7</v>
      </c>
      <c r="H4" s="10">
        <v>8</v>
      </c>
      <c r="I4" s="10">
        <v>9</v>
      </c>
      <c r="J4" s="10">
        <v>10</v>
      </c>
      <c r="K4" s="10">
        <v>11</v>
      </c>
      <c r="L4" s="10">
        <v>12</v>
      </c>
      <c r="M4" s="10">
        <v>13</v>
      </c>
      <c r="N4" s="10">
        <v>14</v>
      </c>
      <c r="O4" s="10">
        <v>15</v>
      </c>
      <c r="P4" s="10">
        <v>16</v>
      </c>
      <c r="Q4" s="10">
        <v>17</v>
      </c>
      <c r="R4" s="10">
        <v>18</v>
      </c>
      <c r="S4" s="10">
        <v>19</v>
      </c>
    </row>
    <row r="5" ht="85.5" spans="1:19">
      <c r="A5" s="10" t="s">
        <v>51</v>
      </c>
      <c r="B5" s="11" t="s">
        <v>52</v>
      </c>
      <c r="C5" s="19" t="s">
        <v>288</v>
      </c>
      <c r="D5" s="15">
        <v>42.5</v>
      </c>
      <c r="E5" s="15" t="s">
        <v>117</v>
      </c>
      <c r="F5" s="15" t="str">
        <f t="array" ref="F5">VLOOKUP($B5&amp;$D5,IF({1,0},水泥检测!$B$4:$B$995&amp;水泥检测!$E$4:$E$995,水泥检测!$F$4:$F$995),2,0)</f>
        <v>眉山市峨通水泥有限公司</v>
      </c>
      <c r="G5" s="15" t="str">
        <f t="array" ref="G5">VLOOKUP($B5&amp;$D5,IF({1,0},水泥检测!$B$4:$B$995&amp;水泥检测!$E$4:$E$995,水泥检测!$C$4:$C$995),2,0)</f>
        <v>PO42.5</v>
      </c>
      <c r="H5" s="20">
        <f t="array" ref="H5">VLOOKUP($B5&amp;$D5,IF({1,0},水泥检测!$B$4:$B$995&amp;水泥检测!$E$4:$E$995,水泥检测!$G$4:$G$995),2,0)</f>
        <v>44328</v>
      </c>
      <c r="I5" s="20" t="str">
        <f t="array" ref="I5">VLOOKUP($B5&amp;$D5,IF({1,0},水泥检测!$B$4:$B$995&amp;水泥检测!$E$4:$E$995,水泥检测!$H$4:$H$995),2,0)</f>
        <v>B-014</v>
      </c>
      <c r="J5" s="23" t="str">
        <f>TEXT(H5,"yyyy-mm-dd")&amp;"    "&amp;I5</f>
        <v>2021-05-12    B-014</v>
      </c>
      <c r="K5" s="24" t="str">
        <f t="array" ref="K5">VLOOKUP($B5&amp;$D5,IF({1,0},水泥检测!$B$4:$B$995&amp;水泥检测!$E$4:$E$995,水泥检测!$L$4:$L$995),2,0)</f>
        <v>010601-2021000021</v>
      </c>
      <c r="L5" s="15" t="str">
        <f>VLOOKUP($B5,砂子检测!$B$4:$L$101,4,FALSE)</f>
        <v>芦山县大发砂石厂</v>
      </c>
      <c r="M5" s="15" t="str">
        <f>VLOOKUP($B5,砂子检测!$B$4:$L$101,3,FALSE)</f>
        <v>机制中砂</v>
      </c>
      <c r="N5" s="15" t="str">
        <f>VLOOKUP($B5,砂子检测!$B$4:$L$101,11,FALSE)</f>
        <v>150502-2021000013</v>
      </c>
      <c r="O5" s="15" t="str">
        <f>VLOOKUP($B5,碎石检测!$B$4:$L$101,4,FALSE)</f>
        <v>芦山县大发砂石厂</v>
      </c>
      <c r="P5" s="15" t="str">
        <f>VLOOKUP($B5,碎石检测!$B$4:$L$101,3,FALSE)</f>
        <v>碎石5-25mm</v>
      </c>
      <c r="Q5" s="15" t="str">
        <f>VLOOKUP($B5,碎石检测!$B$4:$L$101,11,FALSE)</f>
        <v>150504-2021000011</v>
      </c>
      <c r="R5" s="25">
        <v>44328</v>
      </c>
      <c r="S5" s="15" t="s">
        <v>289</v>
      </c>
    </row>
    <row r="6" ht="27" spans="1:18">
      <c r="A6" s="10" t="s">
        <v>34</v>
      </c>
      <c r="B6" s="10" t="s">
        <v>35</v>
      </c>
      <c r="C6" s="19" t="s">
        <v>288</v>
      </c>
      <c r="D6" s="15">
        <v>42.5</v>
      </c>
      <c r="E6" s="15" t="s">
        <v>132</v>
      </c>
      <c r="F6" s="15" t="str">
        <f t="array" ref="F6">VLOOKUP($B6&amp;$D6,IF({1,0},水泥检测!$B$4:$B$995&amp;水泥检测!$E$4:$E$995,水泥检测!$F$4:$F$995),2,0)</f>
        <v>眉山市峨通水泥有限公司</v>
      </c>
      <c r="G6" s="15" t="str">
        <f t="array" ref="G6">VLOOKUP($B6&amp;$D6,IF({1,0},水泥检测!$B$4:$B$995&amp;水泥检测!$E$4:$E$995,水泥检测!$C$4:$C$995),2,0)</f>
        <v>PO42.5</v>
      </c>
      <c r="H6" s="20">
        <f t="array" ref="H6">VLOOKUP($B6&amp;$D6,IF({1,0},水泥检测!$B$4:$B$995&amp;水泥检测!$E$4:$E$995,水泥检测!$G$4:$G$995),2,0)</f>
        <v>44328</v>
      </c>
      <c r="I6" s="20" t="str">
        <f t="array" ref="I6">VLOOKUP($B6&amp;$D6,IF({1,0},水泥检测!$B$4:$B$995&amp;水泥检测!$E$4:$E$995,水泥检测!$H$4:$H$995),2,0)</f>
        <v>B-014</v>
      </c>
      <c r="J6" s="23" t="str">
        <f>TEXT(H6,"yyyy-mm-dd")&amp;"    "&amp;I6</f>
        <v>2021-05-12    B-014</v>
      </c>
      <c r="K6" s="24" t="str">
        <f t="array" ref="K6">VLOOKUP($B6&amp;$D6,IF({1,0},水泥检测!$B$4:$B$995&amp;水泥检测!$E$4:$E$995,水泥检测!$L$4:$L$995),2,0)</f>
        <v>010601-2021000023</v>
      </c>
      <c r="L6" s="15" t="str">
        <f>VLOOKUP($B6,砂子检测!$B$4:$L$101,4,FALSE)</f>
        <v>芦山县大发砂石厂</v>
      </c>
      <c r="M6" s="15" t="str">
        <f>VLOOKUP($B6,砂子检测!$B$4:$L$101,3,FALSE)</f>
        <v>机制中砂</v>
      </c>
      <c r="N6" s="15" t="str">
        <f>VLOOKUP($B6,砂子检测!$B$4:$L$101,11,FALSE)</f>
        <v>150502-2021000014</v>
      </c>
      <c r="O6" s="15" t="str">
        <f>VLOOKUP($B6,碎石检测!$B$4:$L$101,4,FALSE)</f>
        <v>芦山县大发砂石厂</v>
      </c>
      <c r="P6" s="15" t="str">
        <f>VLOOKUP($B6,碎石检测!$B$4:$L$101,3,FALSE)</f>
        <v>碎石5-25mm</v>
      </c>
      <c r="Q6" s="15" t="str">
        <f>VLOOKUP($B6,碎石检测!$B$4:$L$101,11,FALSE)</f>
        <v>150504-2021000012</v>
      </c>
      <c r="R6" s="25">
        <v>44328</v>
      </c>
    </row>
  </sheetData>
  <mergeCells count="11">
    <mergeCell ref="A1:R1"/>
    <mergeCell ref="F2:K2"/>
    <mergeCell ref="L2:N2"/>
    <mergeCell ref="O2:Q2"/>
    <mergeCell ref="A2:A3"/>
    <mergeCell ref="B2:B3"/>
    <mergeCell ref="C2:C3"/>
    <mergeCell ref="D2:D3"/>
    <mergeCell ref="E2:E3"/>
    <mergeCell ref="R2:R3"/>
    <mergeCell ref="S2:S3"/>
  </mergeCells>
  <hyperlinks>
    <hyperlink ref="T2" location="目录!A1" display="返回目录"/>
  </hyperlinks>
  <pageMargins left="0.75" right="0.75" top="1" bottom="1" header="0.5" footer="0.5"/>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A1:Q5"/>
  <sheetViews>
    <sheetView topLeftCell="B1" workbookViewId="0">
      <selection activeCell="Q3" sqref="Q3"/>
    </sheetView>
  </sheetViews>
  <sheetFormatPr defaultColWidth="9" defaultRowHeight="13.5" outlineLevelRow="4"/>
  <cols>
    <col min="2" max="2" width="31.25" customWidth="1"/>
    <col min="6" max="6" width="21.625" customWidth="1"/>
    <col min="8" max="8" width="15.375" customWidth="1" outlineLevel="1"/>
    <col min="9" max="9" width="10.375" outlineLevel="1"/>
    <col min="10" max="10" width="14.375" customWidth="1"/>
    <col min="11" max="11" width="20.875" customWidth="1"/>
    <col min="12" max="12" width="18.25" customWidth="1"/>
    <col min="14" max="14" width="16.125" customWidth="1"/>
    <col min="15" max="15" width="11.125" customWidth="1"/>
    <col min="16" max="16" width="17.5" customWidth="1"/>
  </cols>
  <sheetData>
    <row r="1" ht="18.75" spans="1:16">
      <c r="A1" s="16" t="s">
        <v>276</v>
      </c>
      <c r="B1" s="16"/>
      <c r="C1" s="16"/>
      <c r="D1" s="16"/>
      <c r="E1" s="16"/>
      <c r="F1" s="16"/>
      <c r="G1" s="16"/>
      <c r="H1" s="16"/>
      <c r="I1" s="16"/>
      <c r="J1" s="16"/>
      <c r="K1" s="16"/>
      <c r="L1" s="16"/>
      <c r="M1" s="16"/>
      <c r="N1" s="16"/>
      <c r="O1" s="16"/>
      <c r="P1" s="16"/>
    </row>
    <row r="2" s="1" customFormat="1" ht="19" customHeight="1" spans="1:16">
      <c r="A2" s="3" t="s">
        <v>23</v>
      </c>
      <c r="B2" s="4" t="s">
        <v>66</v>
      </c>
      <c r="C2" s="3" t="s">
        <v>277</v>
      </c>
      <c r="D2" s="3" t="s">
        <v>280</v>
      </c>
      <c r="E2" s="3" t="s">
        <v>279</v>
      </c>
      <c r="F2" s="3" t="s">
        <v>280</v>
      </c>
      <c r="G2" s="3"/>
      <c r="H2" s="3"/>
      <c r="I2" s="3"/>
      <c r="J2" s="3"/>
      <c r="K2" s="21"/>
      <c r="L2" s="3" t="s">
        <v>281</v>
      </c>
      <c r="M2" s="3"/>
      <c r="N2" s="3"/>
      <c r="O2" s="3" t="s">
        <v>76</v>
      </c>
      <c r="P2" s="3" t="s">
        <v>75</v>
      </c>
    </row>
    <row r="3" s="1" customFormat="1" ht="30" customHeight="1" spans="1:17">
      <c r="A3" s="3"/>
      <c r="B3" s="4"/>
      <c r="C3" s="3"/>
      <c r="D3" s="3"/>
      <c r="E3" s="3"/>
      <c r="F3" s="17" t="s">
        <v>70</v>
      </c>
      <c r="G3" s="18" t="s">
        <v>283</v>
      </c>
      <c r="H3" s="18" t="s">
        <v>236</v>
      </c>
      <c r="I3" s="18" t="s">
        <v>284</v>
      </c>
      <c r="J3" s="17" t="s">
        <v>285</v>
      </c>
      <c r="K3" s="22" t="s">
        <v>75</v>
      </c>
      <c r="L3" s="17" t="s">
        <v>286</v>
      </c>
      <c r="M3" s="13" t="s">
        <v>287</v>
      </c>
      <c r="N3" s="17" t="s">
        <v>75</v>
      </c>
      <c r="O3" s="3"/>
      <c r="P3" s="3"/>
      <c r="Q3" s="7" t="s">
        <v>83</v>
      </c>
    </row>
    <row r="4" spans="1:15">
      <c r="A4" s="10">
        <v>1</v>
      </c>
      <c r="B4" s="10">
        <v>2</v>
      </c>
      <c r="C4" s="10">
        <v>3</v>
      </c>
      <c r="D4" s="10"/>
      <c r="E4" s="10">
        <v>4</v>
      </c>
      <c r="F4" s="10">
        <v>5</v>
      </c>
      <c r="G4" s="10">
        <v>6</v>
      </c>
      <c r="H4" s="10">
        <v>7</v>
      </c>
      <c r="I4" s="10">
        <v>8</v>
      </c>
      <c r="J4" s="10">
        <v>9</v>
      </c>
      <c r="K4" s="10">
        <v>10</v>
      </c>
      <c r="L4" s="10">
        <v>11</v>
      </c>
      <c r="M4" s="10">
        <v>12</v>
      </c>
      <c r="N4" s="10">
        <v>13</v>
      </c>
      <c r="O4" s="10">
        <v>17</v>
      </c>
    </row>
    <row r="5" ht="39" customHeight="1" spans="1:16">
      <c r="A5" s="10" t="s">
        <v>51</v>
      </c>
      <c r="B5" s="11" t="s">
        <v>52</v>
      </c>
      <c r="C5" s="19" t="s">
        <v>290</v>
      </c>
      <c r="D5" s="15" t="s">
        <v>291</v>
      </c>
      <c r="E5" s="15" t="s">
        <v>221</v>
      </c>
      <c r="F5" s="15" t="str">
        <f t="array" ref="F5">VLOOKUP($B5&amp;$D5,IF({1,0},水泥检测!$B$4:$B$995&amp;水泥检测!$E$4:$E$995,水泥检测!$F$4:$F$995),2,0)</f>
        <v>眉山峨兴水泥厂</v>
      </c>
      <c r="G5" s="15" t="str">
        <f t="array" ref="G5">VLOOKUP($B5&amp;$D5,IF({1,0},水泥检测!$B$4:$B$995&amp;水泥检测!$E$4:$E$995,水泥检测!$C$4:$C$995),2,0)</f>
        <v>PSA32.5R</v>
      </c>
      <c r="H5" s="20">
        <f t="array" ref="H5">VLOOKUP($B5&amp;$D5,IF({1,0},水泥检测!$B$4:$B$995&amp;水泥检测!$E$4:$E$995,水泥检测!$G$4:$G$995),2,0)</f>
        <v>44328</v>
      </c>
      <c r="I5" s="20" t="str">
        <f t="array" ref="I5">VLOOKUP($B5&amp;$D5,IF({1,0},水泥检测!$B$4:$B$995&amp;水泥检测!$E$4:$E$995,水泥检测!$H$4:$H$995),2,0)</f>
        <v>C-017</v>
      </c>
      <c r="J5" s="23" t="str">
        <f>TEXT(H5,"yyyy-mm-dd")&amp;"    "&amp;I5</f>
        <v>2021-05-12    C-017</v>
      </c>
      <c r="K5" s="24" t="str">
        <f t="array" ref="K5">VLOOKUP($B5&amp;$D5,IF({1,0},水泥检测!$B$4:$B$995&amp;水泥检测!$E$4:$E$995,水泥检测!$L$4:$L$995),2,0)</f>
        <v>010601-2021000022</v>
      </c>
      <c r="L5" s="15" t="str">
        <f>VLOOKUP($B5,砂子检测!$B$4:$L$101,4,FALSE)</f>
        <v>芦山县大发砂石厂</v>
      </c>
      <c r="M5" s="15" t="str">
        <f>VLOOKUP($B5,砂子检测!$B$4:$L$101,2,FALSE)</f>
        <v>普通</v>
      </c>
      <c r="N5" s="15" t="str">
        <f>VLOOKUP($B5,砂子检测!$B$4:$L$101,11,FALSE)</f>
        <v>150502-2021000013</v>
      </c>
      <c r="O5" s="25">
        <v>44287</v>
      </c>
      <c r="P5" s="15" t="s">
        <v>292</v>
      </c>
    </row>
  </sheetData>
  <mergeCells count="10">
    <mergeCell ref="A1:P1"/>
    <mergeCell ref="F2:K2"/>
    <mergeCell ref="L2:N2"/>
    <mergeCell ref="A2:A3"/>
    <mergeCell ref="B2:B3"/>
    <mergeCell ref="C2:C3"/>
    <mergeCell ref="D2:D3"/>
    <mergeCell ref="E2:E3"/>
    <mergeCell ref="O2:O3"/>
    <mergeCell ref="P2:P3"/>
  </mergeCells>
  <dataValidations count="1">
    <dataValidation type="list" allowBlank="1" showInputMessage="1" showErrorMessage="1" sqref="D5">
      <formula1>"32.5,32.5R"</formula1>
    </dataValidation>
  </dataValidations>
  <hyperlinks>
    <hyperlink ref="Q3" location="目录!A1" display="返回目录"/>
  </hyperlinks>
  <pageMargins left="0.75" right="0.75" top="1" bottom="1" header="0.5" footer="0.5"/>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A1:M20"/>
  <sheetViews>
    <sheetView workbookViewId="0">
      <selection activeCell="D3" sqref="D3"/>
    </sheetView>
  </sheetViews>
  <sheetFormatPr defaultColWidth="9" defaultRowHeight="13.5"/>
  <cols>
    <col min="1" max="1" width="9" style="15"/>
    <col min="2" max="2" width="27.75" style="15" customWidth="1"/>
    <col min="3" max="3" width="13" style="15" customWidth="1"/>
    <col min="4" max="4" width="9.875" style="15" customWidth="1"/>
    <col min="5" max="5" width="9" style="15"/>
    <col min="6" max="11" width="9.875" style="15" customWidth="1"/>
    <col min="12" max="16384" width="9" style="15"/>
  </cols>
  <sheetData>
    <row r="1" ht="25" customHeight="1" spans="1:11">
      <c r="A1" s="2" t="s">
        <v>293</v>
      </c>
      <c r="B1" s="2"/>
      <c r="C1" s="2"/>
      <c r="D1" s="2"/>
      <c r="E1" s="2"/>
      <c r="F1" s="2"/>
      <c r="G1" s="2"/>
      <c r="H1" s="2"/>
      <c r="I1" s="2"/>
      <c r="J1" s="2"/>
      <c r="K1" s="2"/>
    </row>
    <row r="2" s="4" customFormat="1" ht="30" customHeight="1" spans="1:13">
      <c r="A2" s="4" t="s">
        <v>23</v>
      </c>
      <c r="B2" s="4" t="s">
        <v>66</v>
      </c>
      <c r="C2" s="4" t="s">
        <v>294</v>
      </c>
      <c r="D2" s="4" t="s">
        <v>279</v>
      </c>
      <c r="E2" s="4" t="s">
        <v>295</v>
      </c>
      <c r="F2" s="4" t="s">
        <v>70</v>
      </c>
      <c r="G2" s="4" t="s">
        <v>73</v>
      </c>
      <c r="H2" s="4" t="s">
        <v>72</v>
      </c>
      <c r="I2" s="4" t="s">
        <v>296</v>
      </c>
      <c r="J2" s="4" t="s">
        <v>75</v>
      </c>
      <c r="K2" s="4" t="s">
        <v>297</v>
      </c>
      <c r="M2" s="7" t="s">
        <v>83</v>
      </c>
    </row>
    <row r="3" ht="110.25" spans="1:3">
      <c r="A3" s="10" t="s">
        <v>51</v>
      </c>
      <c r="B3" s="11" t="s">
        <v>52</v>
      </c>
      <c r="C3" s="15" t="s">
        <v>298</v>
      </c>
    </row>
    <row r="20" spans="3:3">
      <c r="C20" s="15">
        <v>40000</v>
      </c>
    </row>
  </sheetData>
  <mergeCells count="1">
    <mergeCell ref="A1:K1"/>
  </mergeCells>
  <dataValidations count="1">
    <dataValidation type="list" allowBlank="1" showInputMessage="1" showErrorMessage="1" sqref="C3 C4:C21">
      <formula1>"烧结普通砖,烧结多孔砖和多孔砌块,烧结空心砖和空心砌块,石材,混凝土免烧砖"</formula1>
    </dataValidation>
  </dataValidations>
  <hyperlinks>
    <hyperlink ref="M2" location="目录!A1" display="返回目录"/>
  </hyperlinks>
  <pageMargins left="0.75" right="0.75" top="1" bottom="1" header="0.5" footer="0.5"/>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L3"/>
  <sheetViews>
    <sheetView workbookViewId="0">
      <selection activeCell="L3" sqref="L3"/>
    </sheetView>
  </sheetViews>
  <sheetFormatPr defaultColWidth="9" defaultRowHeight="13.5" outlineLevelRow="2"/>
  <sheetData>
    <row r="3" spans="12:12">
      <c r="L3" s="7" t="s">
        <v>83</v>
      </c>
    </row>
  </sheetData>
  <hyperlinks>
    <hyperlink ref="L3" location="目录!A1" display="返回目录"/>
  </hyperlinks>
  <pageMargins left="0.75" right="0.75" top="1" bottom="1" header="0.5" footer="0.5"/>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dimension ref="L3"/>
  <sheetViews>
    <sheetView workbookViewId="0">
      <selection activeCell="L3" sqref="L3"/>
    </sheetView>
  </sheetViews>
  <sheetFormatPr defaultColWidth="9" defaultRowHeight="13.5" outlineLevelRow="2"/>
  <sheetData>
    <row r="3" spans="12:12">
      <c r="L3" s="7" t="s">
        <v>83</v>
      </c>
    </row>
  </sheetData>
  <hyperlinks>
    <hyperlink ref="L3" location="目录!A1" display="返回目录"/>
  </hyperlinks>
  <pageMargins left="0.75" right="0.75" top="1" bottom="1" header="0.5" footer="0.5"/>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8"/>
  <dimension ref="L3"/>
  <sheetViews>
    <sheetView topLeftCell="A2" workbookViewId="0">
      <selection activeCell="Q44" sqref="Q44:Q45"/>
    </sheetView>
  </sheetViews>
  <sheetFormatPr defaultColWidth="9" defaultRowHeight="13.5" outlineLevelRow="2"/>
  <sheetData>
    <row r="3" spans="12:12">
      <c r="L3" s="7" t="s">
        <v>83</v>
      </c>
    </row>
  </sheetData>
  <hyperlinks>
    <hyperlink ref="L3" location="目录!A1" display="返回目录"/>
  </hyperlinks>
  <pageMargins left="0.75" right="0.75" top="1" bottom="1" header="0.5" footer="0.5"/>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9"/>
  <dimension ref="L3"/>
  <sheetViews>
    <sheetView workbookViewId="0">
      <selection activeCell="L3" sqref="L3"/>
    </sheetView>
  </sheetViews>
  <sheetFormatPr defaultColWidth="9" defaultRowHeight="13.5" outlineLevelRow="2"/>
  <sheetData>
    <row r="3" spans="12:12">
      <c r="L3" s="7" t="s">
        <v>83</v>
      </c>
    </row>
  </sheetData>
  <hyperlinks>
    <hyperlink ref="L3" location="目录!A1" display="返回目录"/>
  </hyperlinks>
  <pageMargins left="0.75" right="0.75" top="1" bottom="1" header="0.5" footer="0.5"/>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A1:Q3"/>
  <sheetViews>
    <sheetView tabSelected="1" workbookViewId="0">
      <selection activeCell="K3" sqref="K3"/>
    </sheetView>
  </sheetViews>
  <sheetFormatPr defaultColWidth="9" defaultRowHeight="13.5" outlineLevelRow="2"/>
  <cols>
    <col min="2" max="2" width="37" customWidth="1"/>
    <col min="13" max="13" width="18.875" customWidth="1"/>
    <col min="14" max="14" width="12.5" customWidth="1"/>
  </cols>
  <sheetData>
    <row r="1" ht="30" customHeight="1" spans="1:15">
      <c r="A1" s="2" t="s">
        <v>299</v>
      </c>
      <c r="B1" s="2"/>
      <c r="C1" s="2"/>
      <c r="D1" s="2"/>
      <c r="E1" s="2"/>
      <c r="F1" s="2"/>
      <c r="G1" s="2"/>
      <c r="H1" s="2"/>
      <c r="I1" s="2"/>
      <c r="J1" s="2"/>
      <c r="K1" s="2"/>
      <c r="L1" s="2"/>
      <c r="M1" s="2"/>
      <c r="N1" s="2"/>
      <c r="O1" s="2"/>
    </row>
    <row r="2" s="1" customFormat="1" ht="42" customHeight="1" spans="1:17">
      <c r="A2" s="3" t="s">
        <v>23</v>
      </c>
      <c r="B2" s="4" t="s">
        <v>66</v>
      </c>
      <c r="C2" s="9" t="s">
        <v>300</v>
      </c>
      <c r="D2" s="9" t="s">
        <v>301</v>
      </c>
      <c r="E2" s="9" t="s">
        <v>302</v>
      </c>
      <c r="F2" s="9" t="s">
        <v>303</v>
      </c>
      <c r="G2" s="9" t="s">
        <v>113</v>
      </c>
      <c r="H2" s="9" t="s">
        <v>304</v>
      </c>
      <c r="I2" s="9" t="s">
        <v>305</v>
      </c>
      <c r="J2" s="9" t="s">
        <v>306</v>
      </c>
      <c r="K2" s="9" t="s">
        <v>114</v>
      </c>
      <c r="L2" s="9" t="s">
        <v>296</v>
      </c>
      <c r="M2" s="9" t="s">
        <v>75</v>
      </c>
      <c r="N2" s="13" t="s">
        <v>307</v>
      </c>
      <c r="O2" s="1" t="s">
        <v>76</v>
      </c>
      <c r="Q2" s="7" t="s">
        <v>83</v>
      </c>
    </row>
    <row r="3" s="8" customFormat="1" ht="85.5" spans="1:15">
      <c r="A3" s="10" t="s">
        <v>51</v>
      </c>
      <c r="B3" s="11" t="s">
        <v>52</v>
      </c>
      <c r="C3" s="12" t="s">
        <v>116</v>
      </c>
      <c r="D3" s="12" t="s">
        <v>308</v>
      </c>
      <c r="E3" s="12" t="str">
        <f>LEFT(D3,3)</f>
        <v>P6 </v>
      </c>
      <c r="F3" s="12" t="str">
        <f>IF(ISERROR(FIND(" ",D3)),"",MID(D3,FIND(" ",D3)+1,99))</f>
        <v> C30</v>
      </c>
      <c r="G3" s="12">
        <v>25</v>
      </c>
      <c r="H3" s="12" t="s">
        <v>309</v>
      </c>
      <c r="I3" s="12"/>
      <c r="J3" s="12">
        <v>500</v>
      </c>
      <c r="K3" s="14"/>
      <c r="L3" s="12"/>
      <c r="M3" s="12"/>
      <c r="N3" s="12"/>
      <c r="O3" s="14"/>
    </row>
  </sheetData>
  <mergeCells count="1">
    <mergeCell ref="A1:O1"/>
  </mergeCells>
  <dataValidations count="1">
    <dataValidation type="list" allowBlank="1" showInputMessage="1" showErrorMessage="1" sqref="C3">
      <formula1>"商品砼,自拌砼"</formula1>
    </dataValidation>
  </dataValidations>
  <hyperlinks>
    <hyperlink ref="Q2" location="目录!A1" display="返回目录"/>
  </hyperlinks>
  <pageMargins left="0.75" right="0.75" top="1" bottom="1" header="0.5" footer="0.5"/>
  <headerFooter/>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A1:M2"/>
  <sheetViews>
    <sheetView workbookViewId="0">
      <selection activeCell="M2" sqref="M2"/>
    </sheetView>
  </sheetViews>
  <sheetFormatPr defaultColWidth="9" defaultRowHeight="13.5" outlineLevelRow="1"/>
  <cols>
    <col min="2" max="2" width="34.75" customWidth="1"/>
    <col min="8" max="8" width="13.875" customWidth="1"/>
    <col min="9" max="9" width="12.125" customWidth="1"/>
    <col min="10" max="10" width="21.125" customWidth="1"/>
  </cols>
  <sheetData>
    <row r="1" ht="20.25" spans="1:11">
      <c r="A1" s="2" t="s">
        <v>310</v>
      </c>
      <c r="B1" s="2"/>
      <c r="C1" s="2"/>
      <c r="D1" s="2"/>
      <c r="E1" s="2"/>
      <c r="F1" s="2"/>
      <c r="G1" s="2"/>
      <c r="H1" s="2"/>
      <c r="I1" s="2"/>
      <c r="J1" s="2"/>
      <c r="K1" s="2"/>
    </row>
    <row r="2" s="6" customFormat="1" ht="27" spans="1:13">
      <c r="A2" s="3" t="s">
        <v>23</v>
      </c>
      <c r="B2" s="4" t="s">
        <v>66</v>
      </c>
      <c r="C2" s="4" t="s">
        <v>311</v>
      </c>
      <c r="D2" s="4" t="s">
        <v>312</v>
      </c>
      <c r="E2" s="4" t="s">
        <v>313</v>
      </c>
      <c r="F2" s="4" t="s">
        <v>314</v>
      </c>
      <c r="G2" s="4" t="s">
        <v>315</v>
      </c>
      <c r="H2" s="4" t="s">
        <v>316</v>
      </c>
      <c r="I2" s="4" t="s">
        <v>317</v>
      </c>
      <c r="J2" s="4" t="s">
        <v>318</v>
      </c>
      <c r="K2" s="4" t="s">
        <v>319</v>
      </c>
      <c r="M2" s="7" t="s">
        <v>83</v>
      </c>
    </row>
  </sheetData>
  <mergeCells count="1">
    <mergeCell ref="A1:K1"/>
  </mergeCells>
  <hyperlinks>
    <hyperlink ref="M2" location="目录!A1" display="返回目录"/>
  </hyperlinks>
  <pageMargins left="0.75" right="0.75" top="1" bottom="1" header="0.5" footer="0.5"/>
  <headerFooter/>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A1:L2"/>
  <sheetViews>
    <sheetView workbookViewId="0">
      <selection activeCell="L2" sqref="L2"/>
    </sheetView>
  </sheetViews>
  <sheetFormatPr defaultColWidth="9" defaultRowHeight="13.5" outlineLevelRow="1"/>
  <cols>
    <col min="2" max="2" width="28.75" customWidth="1"/>
  </cols>
  <sheetData>
    <row r="1" ht="20.25" spans="1:10">
      <c r="A1" s="2" t="s">
        <v>320</v>
      </c>
      <c r="B1" s="2"/>
      <c r="C1" s="2"/>
      <c r="D1" s="2"/>
      <c r="E1" s="2"/>
      <c r="F1" s="2"/>
      <c r="G1" s="2"/>
      <c r="H1" s="2"/>
      <c r="I1" s="2"/>
      <c r="J1" s="2"/>
    </row>
    <row r="2" s="1" customFormat="1" ht="24" customHeight="1" spans="1:12">
      <c r="A2" s="3" t="s">
        <v>23</v>
      </c>
      <c r="B2" s="4" t="s">
        <v>66</v>
      </c>
      <c r="C2" s="3" t="s">
        <v>321</v>
      </c>
      <c r="D2" s="3" t="s">
        <v>100</v>
      </c>
      <c r="E2" s="3" t="s">
        <v>322</v>
      </c>
      <c r="F2" s="3" t="s">
        <v>323</v>
      </c>
      <c r="G2" s="3" t="s">
        <v>72</v>
      </c>
      <c r="H2" s="3" t="s">
        <v>324</v>
      </c>
      <c r="I2" s="3" t="s">
        <v>76</v>
      </c>
      <c r="J2" s="1" t="s">
        <v>75</v>
      </c>
      <c r="L2" s="5" t="s">
        <v>83</v>
      </c>
    </row>
  </sheetData>
  <mergeCells count="1">
    <mergeCell ref="A1:J1"/>
  </mergeCells>
  <dataValidations count="1">
    <dataValidation type="list" allowBlank="1" showInputMessage="1" showErrorMessage="1" sqref="F3 F4:F20">
      <formula1>"上面层,下面层"</formula1>
    </dataValidation>
  </dataValidations>
  <hyperlinks>
    <hyperlink ref="L2" location="目录!A1" display="返回目录"/>
  </hyperlinks>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WPS 表格</Application>
  <HeadingPairs>
    <vt:vector size="2" baseType="variant">
      <vt:variant>
        <vt:lpstr>工作表</vt:lpstr>
      </vt:variant>
      <vt:variant>
        <vt:i4>20</vt:i4>
      </vt:variant>
    </vt:vector>
  </HeadingPairs>
  <TitlesOfParts>
    <vt:vector size="20" baseType="lpstr">
      <vt:lpstr>目录</vt:lpstr>
      <vt:lpstr>委托单位信息</vt:lpstr>
      <vt:lpstr>钢筋原材检测</vt:lpstr>
      <vt:lpstr>钢筋机械连接检测</vt:lpstr>
      <vt:lpstr>钢筋焊接检测</vt:lpstr>
      <vt:lpstr>混凝土抗压检测</vt:lpstr>
      <vt:lpstr>砂浆抗压检测</vt:lpstr>
      <vt:lpstr>砂子检测</vt:lpstr>
      <vt:lpstr>碎石检测</vt:lpstr>
      <vt:lpstr>水泥检测</vt:lpstr>
      <vt:lpstr>混凝土配合比检测</vt:lpstr>
      <vt:lpstr>砂浆配合比检测</vt:lpstr>
      <vt:lpstr>砌体检测</vt:lpstr>
      <vt:lpstr>水工混凝土抗压检测</vt:lpstr>
      <vt:lpstr>水工混凝土配合比检测</vt:lpstr>
      <vt:lpstr>水工砂浆抗压检测</vt:lpstr>
      <vt:lpstr>水工砂浆配合比检测</vt:lpstr>
      <vt:lpstr>混凝土抗渗检测</vt:lpstr>
      <vt:lpstr>压实度检测</vt:lpstr>
      <vt:lpstr>沥青混合料检测</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浪</cp:lastModifiedBy>
  <dcterms:created xsi:type="dcterms:W3CDTF">2021-07-27T03:42:00Z</dcterms:created>
  <dcterms:modified xsi:type="dcterms:W3CDTF">2021-08-06T07:42:38Z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D3E395CE98BA46DD8F2E795ECA3A74C4</vt:lpwstr>
  </property>
  <property fmtid="{D5CDD505-2E9C-101B-9397-08002B2CF9AE}" pid="3" name="KSOProductBuildVer">
    <vt:lpwstr>2052-11.1.0.10667</vt:lpwstr>
  </property>
</Properties>
</file>