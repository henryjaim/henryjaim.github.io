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95" windowHeight="9375" activeTab="1"/>
  </bookViews>
  <sheets>
    <sheet name="委托单位信息" sheetId="4" r:id="rId1"/>
    <sheet name="沥青混合料检测" sheetId="5" r:id="rId2"/>
    <sheet name="委托单" sheetId="1" r:id="rId3"/>
    <sheet name="Sheet2" sheetId="2" r:id="rId4"/>
    <sheet name="Sheet3" sheetId="3" r:id="rId5"/>
  </sheets>
  <externalReferences>
    <externalReference r:id="rId6"/>
    <externalReference r:id="rId7"/>
  </externalReferences>
  <definedNames>
    <definedName name="材料费">[1]子目!$O$4:$O$19</definedName>
    <definedName name="差旅费">[1]子目!$L$4:$L$19</definedName>
    <definedName name="地基基础检测">[2]辅助计算表!$N$3:$N$180</definedName>
    <definedName name="防水卷材">[2]辅助计算表!$R$3:$R$180</definedName>
    <definedName name="钢筋检测">[2]辅助计算表!$J$3:$J$180</definedName>
    <definedName name="钢筋接头检测">[2]辅助计算表!$K$3:$K$180</definedName>
    <definedName name="固定资产">[1]子目!$I$4:$I$19</definedName>
    <definedName name="管线检测">[2]辅助计算表!$Q$3:$Q$180</definedName>
    <definedName name="混凝土抗渗检测">[2]辅助计算表!$S$3:$S$180</definedName>
    <definedName name="混凝土抗压强度检测">[2]辅助计算表!$C$3:$C$180</definedName>
    <definedName name="混凝土配合比检测">[2]辅助计算表!$E$3:$E$180</definedName>
    <definedName name="检测类型">[2]辅助计算表!$C$2:$U$2</definedName>
    <definedName name="建筑节能检测">[2]辅助计算表!$P$3:$P$180</definedName>
    <definedName name="接待费">[1]子目!$M$4:$M$19</definedName>
    <definedName name="路基检测">[2]辅助计算表!$O$3:$O$180</definedName>
    <definedName name="砌体材料检测">[2]辅助计算表!$L$3:$L$181</definedName>
    <definedName name="人工费">[1]子目!$N$4:$N$19</definedName>
    <definedName name="砂浆抗压强度检测">[2]辅助计算表!$D$3:$D$180</definedName>
    <definedName name="砂浆配合比检测">[2]辅助计算表!$F$3:$F$180</definedName>
    <definedName name="砂料检测">[2]辅助计算表!$G$3:$G$180</definedName>
    <definedName name="实体检测">[2]辅助计算表!$M$3:$M$180</definedName>
    <definedName name="水泥检测">[2]辅助计算表!$I$3:$I$180</definedName>
    <definedName name="碎石检测">[2]辅助计算表!$H$3:$H$180</definedName>
    <definedName name="网费">[1]子目!$K$4:$K$19</definedName>
    <definedName name="维护费">[1]子目!$P$4:$P$19</definedName>
    <definedName name="项目类别">[1]子目!$I$3:$J$3</definedName>
    <definedName name="运营支出">[1]子目!$J$4:$J$190</definedName>
  </definedNames>
  <calcPr calcId="144525"/>
</workbook>
</file>

<file path=xl/sharedStrings.xml><?xml version="1.0" encoding="utf-8"?>
<sst xmlns="http://schemas.openxmlformats.org/spreadsheetml/2006/main" count="114" uniqueCount="70">
  <si>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</si>
  <si>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</si>
  <si>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</si>
  <si>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</si>
  <si>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</si>
  <si>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</si>
  <si>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</si>
  <si>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</si>
  <si>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</si>
  <si>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</si>
  <si>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</si>
  <si>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</si>
  <si>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</si>
  <si>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</si>
  <si>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</si>
  <si>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</si>
  <si>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</si>
  <si>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</si>
  <si>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</si>
  <si>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</si>
  <si>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</si>
  <si>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</si>
  <si>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</si>
  <si>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</si>
  <si>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</si>
  <si>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</si>
  <si>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</si>
  <si>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</si>
  <si>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</si>
  <si>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</si>
  <si>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</si>
  <si>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</si>
  <si>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</si>
  <si>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</si>
  <si>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</si>
  <si>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</si>
  <si>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</si>
  <si>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沥青混合料检测样品信息</t>
  </si>
  <si>
    <t>项目名称</t>
  </si>
  <si>
    <t>样品名称</t>
  </si>
  <si>
    <t>型号规格</t>
  </si>
  <si>
    <t>生产厂名</t>
  </si>
  <si>
    <t>摊铺层次</t>
  </si>
  <si>
    <t>代表批量</t>
  </si>
  <si>
    <t>工程部位</t>
  </si>
  <si>
    <t>送检日期</t>
  </si>
  <si>
    <t>检测编号</t>
  </si>
  <si>
    <t xml:space="preserve">兴文县共乐中心镇创新文旅融合产业园建设项目（EPC) </t>
  </si>
  <si>
    <t>四川绿建西宜建设工程有限公司</t>
  </si>
  <si>
    <t>取样类型</t>
  </si>
  <si>
    <t>兴文僰苗文化旅游有限责任公司</t>
  </si>
  <si>
    <t>李浪</t>
  </si>
  <si>
    <t>谢松</t>
  </si>
  <si>
    <t>序号</t>
  </si>
  <si>
    <t>检测项目</t>
  </si>
  <si>
    <t>检测日期</t>
  </si>
  <si>
    <t>报告日期</t>
  </si>
  <si>
    <t>施工日期</t>
  </si>
  <si>
    <t>沥青混合料检测</t>
  </si>
  <si>
    <t>热拌沥青混合料</t>
  </si>
  <si>
    <t>AC-20C</t>
  </si>
  <si>
    <t>宜宾市华寅道路工程有限公司</t>
  </si>
  <si>
    <t>下面层</t>
  </si>
  <si>
    <t>——</t>
  </si>
  <si>
    <t>停车场下面层</t>
  </si>
  <si>
    <t>45mm厚AC-20C中粒式沥青混凝土下面层</t>
  </si>
  <si>
    <t>AC-13C</t>
  </si>
  <si>
    <t>上面层</t>
  </si>
  <si>
    <t>停车场上面层</t>
  </si>
  <si>
    <t>35mm厚AC-13C细粒式SBS改性沥青混凝土上面层</t>
  </si>
</sst>
</file>

<file path=xl/styles.xml><?xml version="1.0" encoding="utf-8"?>
<styleSheet xmlns="http://schemas.openxmlformats.org/spreadsheetml/2006/main">
  <numFmts count="4">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s>
  <fonts count="26">
    <font>
      <sz val="11"/>
      <color theme="1"/>
      <name val="宋体"/>
      <charset val="134"/>
      <scheme val="minor"/>
    </font>
    <font>
      <b/>
      <sz val="14"/>
      <color theme="1"/>
      <name val="宋体"/>
      <charset val="134"/>
      <scheme val="minor"/>
    </font>
    <font>
      <sz val="10.5"/>
      <color theme="1"/>
      <name val="宋体"/>
      <charset val="134"/>
    </font>
    <font>
      <b/>
      <sz val="11"/>
      <color theme="1"/>
      <name val="宋体"/>
      <charset val="134"/>
      <scheme val="minor"/>
    </font>
    <font>
      <b/>
      <sz val="16"/>
      <color theme="1"/>
      <name val="宋体"/>
      <charset val="134"/>
      <scheme val="minor"/>
    </font>
    <font>
      <sz val="12"/>
      <color theme="1"/>
      <name val="宋体"/>
      <charset val="134"/>
    </font>
    <font>
      <i/>
      <sz val="11"/>
      <color rgb="FF7F7F7F"/>
      <name val="宋体"/>
      <charset val="0"/>
      <scheme val="minor"/>
    </font>
    <font>
      <b/>
      <sz val="18"/>
      <color theme="3"/>
      <name val="宋体"/>
      <charset val="134"/>
      <scheme val="minor"/>
    </font>
    <font>
      <sz val="11"/>
      <color rgb="FF3F3F76"/>
      <name val="宋体"/>
      <charset val="0"/>
      <scheme val="minor"/>
    </font>
    <font>
      <sz val="11"/>
      <color rgb="FF9C0006"/>
      <name val="宋体"/>
      <charset val="0"/>
      <scheme val="minor"/>
    </font>
    <font>
      <sz val="11"/>
      <color theme="0"/>
      <name val="宋体"/>
      <charset val="0"/>
      <scheme val="minor"/>
    </font>
    <font>
      <b/>
      <sz val="11"/>
      <color theme="3"/>
      <name val="宋体"/>
      <charset val="134"/>
      <scheme val="minor"/>
    </font>
    <font>
      <sz val="11"/>
      <color theme="1"/>
      <name val="宋体"/>
      <charset val="0"/>
      <scheme val="minor"/>
    </font>
    <font>
      <b/>
      <sz val="11"/>
      <color rgb="FFFA7D00"/>
      <name val="宋体"/>
      <charset val="0"/>
      <scheme val="minor"/>
    </font>
    <font>
      <b/>
      <sz val="11"/>
      <color rgb="FF3F3F3F"/>
      <name val="宋体"/>
      <charset val="0"/>
      <scheme val="minor"/>
    </font>
    <font>
      <sz val="11"/>
      <color rgb="FF9C6500"/>
      <name val="宋体"/>
      <charset val="0"/>
      <scheme val="minor"/>
    </font>
    <font>
      <b/>
      <sz val="13"/>
      <color theme="3"/>
      <name val="宋体"/>
      <charset val="134"/>
      <scheme val="minor"/>
    </font>
    <font>
      <sz val="11"/>
      <color rgb="FFFF0000"/>
      <name val="宋体"/>
      <charset val="0"/>
      <scheme val="minor"/>
    </font>
    <font>
      <u/>
      <sz val="11"/>
      <color rgb="FF0000FF"/>
      <name val="宋体"/>
      <charset val="0"/>
      <scheme val="minor"/>
    </font>
    <font>
      <b/>
      <sz val="15"/>
      <color theme="3"/>
      <name val="宋体"/>
      <charset val="134"/>
      <scheme val="minor"/>
    </font>
    <font>
      <u/>
      <sz val="11"/>
      <color rgb="FF800080"/>
      <name val="宋体"/>
      <charset val="0"/>
      <scheme val="minor"/>
    </font>
    <font>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9"/>
      <color theme="1"/>
      <name val="宋体"/>
      <charset val="134"/>
      <scheme val="minor"/>
    </font>
  </fonts>
  <fills count="34">
    <fill>
      <patternFill patternType="none"/>
    </fill>
    <fill>
      <patternFill patternType="gray125"/>
    </fill>
    <fill>
      <patternFill patternType="solid">
        <fgColor rgb="FF92D050"/>
        <bgColor indexed="64"/>
      </patternFill>
    </fill>
    <fill>
      <patternFill patternType="solid">
        <fgColor rgb="FFFFCC99"/>
        <bgColor indexed="64"/>
      </patternFill>
    </fill>
    <fill>
      <patternFill patternType="solid">
        <fgColor rgb="FFFFC7CE"/>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rgb="FFF2F2F2"/>
        <bgColor indexed="64"/>
      </patternFill>
    </fill>
    <fill>
      <patternFill patternType="solid">
        <fgColor theme="6" tint="0.799981688894314"/>
        <bgColor indexed="64"/>
      </patternFill>
    </fill>
    <fill>
      <patternFill patternType="solid">
        <fgColor rgb="FFFFFFCC"/>
        <bgColor indexed="64"/>
      </patternFill>
    </fill>
    <fill>
      <patternFill patternType="solid">
        <fgColor rgb="FFFFEB9C"/>
        <bgColor indexed="64"/>
      </patternFill>
    </fill>
    <fill>
      <patternFill patternType="solid">
        <fgColor theme="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4"/>
        <bgColor indexed="64"/>
      </patternFill>
    </fill>
    <fill>
      <patternFill patternType="solid">
        <fgColor theme="5" tint="0.399975585192419"/>
        <bgColor indexed="64"/>
      </patternFill>
    </fill>
    <fill>
      <patternFill patternType="solid">
        <fgColor rgb="FFA5A5A5"/>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rgb="FFC6EFCE"/>
        <bgColor indexed="64"/>
      </patternFill>
    </fill>
    <fill>
      <patternFill patternType="solid">
        <fgColor theme="8"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2" fillId="11" borderId="0" applyNumberFormat="0" applyBorder="0" applyAlignment="0" applyProtection="0">
      <alignment vertical="center"/>
    </xf>
    <xf numFmtId="0" fontId="8" fillId="3"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2" fillId="6" borderId="0" applyNumberFormat="0" applyBorder="0" applyAlignment="0" applyProtection="0">
      <alignment vertical="center"/>
    </xf>
    <xf numFmtId="0" fontId="9" fillId="4" borderId="0" applyNumberFormat="0" applyBorder="0" applyAlignment="0" applyProtection="0">
      <alignment vertical="center"/>
    </xf>
    <xf numFmtId="43" fontId="0" fillId="0" borderId="0" applyFont="0" applyFill="0" applyBorder="0" applyAlignment="0" applyProtection="0">
      <alignment vertical="center"/>
    </xf>
    <xf numFmtId="0" fontId="10" fillId="16" borderId="0" applyNumberFormat="0" applyBorder="0" applyAlignment="0" applyProtection="0">
      <alignment vertical="center"/>
    </xf>
    <xf numFmtId="0" fontId="18"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12" borderId="3" applyNumberFormat="0" applyFont="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9" fillId="0" borderId="4" applyNumberFormat="0" applyFill="0" applyAlignment="0" applyProtection="0">
      <alignment vertical="center"/>
    </xf>
    <xf numFmtId="0" fontId="16" fillId="0" borderId="4" applyNumberFormat="0" applyFill="0" applyAlignment="0" applyProtection="0">
      <alignment vertical="center"/>
    </xf>
    <xf numFmtId="0" fontId="10" fillId="15" borderId="0" applyNumberFormat="0" applyBorder="0" applyAlignment="0" applyProtection="0">
      <alignment vertical="center"/>
    </xf>
    <xf numFmtId="0" fontId="11" fillId="0" borderId="7" applyNumberFormat="0" applyFill="0" applyAlignment="0" applyProtection="0">
      <alignment vertical="center"/>
    </xf>
    <xf numFmtId="0" fontId="10" fillId="24" borderId="0" applyNumberFormat="0" applyBorder="0" applyAlignment="0" applyProtection="0">
      <alignment vertical="center"/>
    </xf>
    <xf numFmtId="0" fontId="14" fillId="10" borderId="2" applyNumberFormat="0" applyAlignment="0" applyProtection="0">
      <alignment vertical="center"/>
    </xf>
    <xf numFmtId="0" fontId="13" fillId="10" borderId="1" applyNumberFormat="0" applyAlignment="0" applyProtection="0">
      <alignment vertical="center"/>
    </xf>
    <xf numFmtId="0" fontId="22" fillId="20" borderId="6" applyNumberFormat="0" applyAlignment="0" applyProtection="0">
      <alignment vertical="center"/>
    </xf>
    <xf numFmtId="0" fontId="12" fillId="9" borderId="0" applyNumberFormat="0" applyBorder="0" applyAlignment="0" applyProtection="0">
      <alignment vertical="center"/>
    </xf>
    <xf numFmtId="0" fontId="10" fillId="14" borderId="0" applyNumberFormat="0" applyBorder="0" applyAlignment="0" applyProtection="0">
      <alignment vertical="center"/>
    </xf>
    <xf numFmtId="0" fontId="21" fillId="0" borderId="5" applyNumberFormat="0" applyFill="0" applyAlignment="0" applyProtection="0">
      <alignment vertical="center"/>
    </xf>
    <xf numFmtId="0" fontId="23" fillId="0" borderId="8" applyNumberFormat="0" applyFill="0" applyAlignment="0" applyProtection="0">
      <alignment vertical="center"/>
    </xf>
    <xf numFmtId="0" fontId="24" fillId="26" borderId="0" applyNumberFormat="0" applyBorder="0" applyAlignment="0" applyProtection="0">
      <alignment vertical="center"/>
    </xf>
    <xf numFmtId="0" fontId="15" fillId="13" borderId="0" applyNumberFormat="0" applyBorder="0" applyAlignment="0" applyProtection="0">
      <alignment vertical="center"/>
    </xf>
    <xf numFmtId="0" fontId="12" fillId="27" borderId="0" applyNumberFormat="0" applyBorder="0" applyAlignment="0" applyProtection="0">
      <alignment vertical="center"/>
    </xf>
    <xf numFmtId="0" fontId="10" fillId="18" borderId="0" applyNumberFormat="0" applyBorder="0" applyAlignment="0" applyProtection="0">
      <alignment vertical="center"/>
    </xf>
    <xf numFmtId="0" fontId="12" fillId="30" borderId="0" applyNumberFormat="0" applyBorder="0" applyAlignment="0" applyProtection="0">
      <alignment vertical="center"/>
    </xf>
    <xf numFmtId="0" fontId="12" fillId="8" borderId="0" applyNumberFormat="0" applyBorder="0" applyAlignment="0" applyProtection="0">
      <alignment vertical="center"/>
    </xf>
    <xf numFmtId="0" fontId="12" fillId="25" borderId="0" applyNumberFormat="0" applyBorder="0" applyAlignment="0" applyProtection="0">
      <alignment vertical="center"/>
    </xf>
    <xf numFmtId="0" fontId="12" fillId="29" borderId="0" applyNumberFormat="0" applyBorder="0" applyAlignment="0" applyProtection="0">
      <alignment vertical="center"/>
    </xf>
    <xf numFmtId="0" fontId="10" fillId="17" borderId="0" applyNumberFormat="0" applyBorder="0" applyAlignment="0" applyProtection="0">
      <alignment vertical="center"/>
    </xf>
    <xf numFmtId="0" fontId="10" fillId="28" borderId="0" applyNumberFormat="0" applyBorder="0" applyAlignment="0" applyProtection="0">
      <alignment vertical="center"/>
    </xf>
    <xf numFmtId="0" fontId="12" fillId="23" borderId="0" applyNumberFormat="0" applyBorder="0" applyAlignment="0" applyProtection="0">
      <alignment vertical="center"/>
    </xf>
    <xf numFmtId="0" fontId="12" fillId="31" borderId="0" applyNumberFormat="0" applyBorder="0" applyAlignment="0" applyProtection="0">
      <alignment vertical="center"/>
    </xf>
    <xf numFmtId="0" fontId="10" fillId="7" borderId="0" applyNumberFormat="0" applyBorder="0" applyAlignment="0" applyProtection="0">
      <alignment vertical="center"/>
    </xf>
    <xf numFmtId="0" fontId="12" fillId="22"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12" fillId="21" borderId="0" applyNumberFormat="0" applyBorder="0" applyAlignment="0" applyProtection="0">
      <alignment vertical="center"/>
    </xf>
    <xf numFmtId="0" fontId="10" fillId="5" borderId="0" applyNumberFormat="0" applyBorder="0" applyAlignment="0" applyProtection="0">
      <alignment vertical="center"/>
    </xf>
  </cellStyleXfs>
  <cellXfs count="16">
    <xf numFmtId="0" fontId="0" fillId="0" borderId="0" xfId="0">
      <alignment vertical="center"/>
    </xf>
    <xf numFmtId="0" fontId="0" fillId="0" borderId="0" xfId="0" applyAlignment="1">
      <alignment horizontal="center" vertical="center"/>
    </xf>
    <xf numFmtId="0" fontId="1" fillId="0" borderId="0" xfId="0" applyFont="1" applyFill="1" applyAlignment="1">
      <alignment horizontal="center" vertical="center"/>
    </xf>
    <xf numFmtId="0" fontId="0" fillId="0" borderId="0" xfId="0" applyFont="1" applyFill="1" applyAlignment="1">
      <alignment horizontal="center" vertical="center"/>
    </xf>
    <xf numFmtId="0" fontId="2" fillId="0" borderId="0" xfId="0" applyFont="1" applyFill="1" applyBorder="1" applyAlignment="1">
      <alignment horizontal="center" vertical="center" wrapText="1"/>
    </xf>
    <xf numFmtId="0" fontId="0" fillId="2" borderId="0" xfId="0" applyFill="1" applyAlignment="1">
      <alignment horizontal="center" vertical="center"/>
    </xf>
    <xf numFmtId="14" fontId="0" fillId="2" borderId="0" xfId="0" applyNumberFormat="1" applyFill="1" applyAlignment="1">
      <alignment horizontal="center" vertical="center"/>
    </xf>
    <xf numFmtId="0" fontId="3" fillId="0" borderId="0" xfId="0" applyFont="1">
      <alignment vertical="center"/>
    </xf>
    <xf numFmtId="0" fontId="4" fillId="0" borderId="0" xfId="0"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0" fillId="0" borderId="0" xfId="0" applyFont="1" applyAlignment="1">
      <alignment horizontal="center" vertical="center" wrapText="1"/>
    </xf>
    <xf numFmtId="0" fontId="2"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XES1000"/>
  <sheetViews>
    <sheetView topLeftCell="D1" workbookViewId="0">
      <selection activeCell="K6" sqref="A3:K9"/>
    </sheetView>
  </sheetViews>
  <sheetFormatPr defaultColWidth="9" defaultRowHeight="13.5"/>
  <cols>
    <col min="1" max="1" width="9" style="11"/>
    <col min="2" max="2" width="57.25" style="11" customWidth="1"/>
    <col min="3" max="3" width="21.5" style="11" customWidth="1"/>
    <col min="4" max="4" width="17.125" style="11" customWidth="1"/>
    <col min="5" max="5" width="27.375" style="11" customWidth="1"/>
    <col min="6" max="6" width="9" style="11"/>
    <col min="7" max="7" width="12.625" style="11"/>
    <col min="8" max="8" width="9" style="11"/>
    <col min="9" max="9" width="12.625" style="11"/>
    <col min="10" max="10" width="15.25" style="11" customWidth="1"/>
    <col min="11" max="16383" width="9" style="11"/>
  </cols>
  <sheetData>
    <row r="1" ht="30" customHeight="1" spans="1:11">
      <c r="A1" s="10" t="s">
        <v>0</v>
      </c>
      <c r="B1" s="10"/>
      <c r="C1" s="10"/>
      <c r="D1" s="10"/>
      <c r="E1" s="10"/>
      <c r="F1" s="10"/>
      <c r="G1" s="10"/>
      <c r="H1" s="10"/>
      <c r="I1" s="10"/>
      <c r="J1" s="10"/>
      <c r="K1" s="10"/>
    </row>
    <row r="2" s="10" customFormat="1" ht="25" customHeight="1" spans="1:11">
      <c r="A2" s="10" t="s">
        <v>1</v>
      </c>
      <c r="B2" s="10" t="s">
        <v>2</v>
      </c>
      <c r="C2" s="10" t="s">
        <v>3</v>
      </c>
      <c r="D2" s="10" t="s">
        <v>4</v>
      </c>
      <c r="E2" s="10" t="s">
        <v>5</v>
      </c>
      <c r="F2" s="10" t="s">
        <v>6</v>
      </c>
      <c r="G2" s="10" t="s">
        <v>7</v>
      </c>
      <c r="H2" s="10" t="s">
        <v>8</v>
      </c>
      <c r="I2" s="10" t="s">
        <v>9</v>
      </c>
      <c r="J2" s="10" t="s">
        <v>10</v>
      </c>
      <c r="K2" s="10" t="s">
        <v>11</v>
      </c>
    </row>
    <row r="3" ht="25" customHeight="1" spans="1:16373">
      <c r="A3" s="11" t="s">
        <v>12</v>
      </c>
      <c r="B3" s="11" t="s">
        <v>13</v>
      </c>
      <c r="C3" s="11" t="s">
        <v>14</v>
      </c>
      <c r="D3" s="11" t="s">
        <v>14</v>
      </c>
      <c r="E3" s="11" t="s">
        <v>15</v>
      </c>
      <c r="F3" s="12" t="s">
        <v>16</v>
      </c>
      <c r="G3" s="11">
        <v>18228131927</v>
      </c>
      <c r="H3" s="11" t="s">
        <v>17</v>
      </c>
      <c r="I3" s="11">
        <v>17323288028</v>
      </c>
      <c r="J3" s="11" t="str">
        <f t="shared" ref="J3:J9" si="0">IF(F3&lt;&gt;"——","有见证取样送检","委托送样检测")</f>
        <v>有见证取样送检</v>
      </c>
      <c r="XES3"/>
    </row>
    <row r="4" ht="25" customHeight="1" spans="1:16373">
      <c r="A4" s="11" t="s">
        <v>18</v>
      </c>
      <c r="B4" s="11" t="s">
        <v>19</v>
      </c>
      <c r="C4" s="11" t="s">
        <v>14</v>
      </c>
      <c r="D4" s="11" t="s">
        <v>14</v>
      </c>
      <c r="E4" s="13" t="s">
        <v>20</v>
      </c>
      <c r="F4" s="13" t="s">
        <v>21</v>
      </c>
      <c r="G4" s="13">
        <v>15884546766</v>
      </c>
      <c r="H4" s="13" t="s">
        <v>22</v>
      </c>
      <c r="I4" s="13">
        <v>18128131927</v>
      </c>
      <c r="J4" s="11" t="str">
        <f t="shared" si="0"/>
        <v>有见证取样送检</v>
      </c>
      <c r="XES4"/>
    </row>
    <row r="5" ht="25" customHeight="1" spans="1:16373">
      <c r="A5" s="11" t="s">
        <v>23</v>
      </c>
      <c r="B5" s="13" t="s">
        <v>24</v>
      </c>
      <c r="C5" s="11" t="s">
        <v>14</v>
      </c>
      <c r="D5" s="11" t="s">
        <v>14</v>
      </c>
      <c r="E5" s="13" t="s">
        <v>20</v>
      </c>
      <c r="F5" s="13" t="s">
        <v>21</v>
      </c>
      <c r="G5" s="13">
        <v>15884546766</v>
      </c>
      <c r="H5" s="13" t="s">
        <v>22</v>
      </c>
      <c r="I5" s="13">
        <v>18128131927</v>
      </c>
      <c r="J5" s="11" t="str">
        <f t="shared" si="0"/>
        <v>有见证取样送检</v>
      </c>
      <c r="XES5"/>
    </row>
    <row r="6" ht="25" customHeight="1" spans="1:16373">
      <c r="A6" s="11" t="s">
        <v>25</v>
      </c>
      <c r="B6" s="13" t="s">
        <v>26</v>
      </c>
      <c r="C6" s="11" t="s">
        <v>14</v>
      </c>
      <c r="D6" s="11" t="s">
        <v>14</v>
      </c>
      <c r="E6" s="13" t="s">
        <v>20</v>
      </c>
      <c r="F6" s="13" t="s">
        <v>21</v>
      </c>
      <c r="G6" s="13">
        <v>15884546766</v>
      </c>
      <c r="H6" s="13" t="s">
        <v>22</v>
      </c>
      <c r="I6" s="13">
        <v>18128131927</v>
      </c>
      <c r="J6" s="11" t="str">
        <f t="shared" si="0"/>
        <v>有见证取样送检</v>
      </c>
      <c r="XES6"/>
    </row>
    <row r="7" ht="25" customHeight="1" spans="1:16373">
      <c r="A7" s="11" t="s">
        <v>27</v>
      </c>
      <c r="B7" s="13" t="s">
        <v>28</v>
      </c>
      <c r="C7" s="11" t="s">
        <v>14</v>
      </c>
      <c r="D7" s="11" t="s">
        <v>14</v>
      </c>
      <c r="E7" s="13" t="s">
        <v>20</v>
      </c>
      <c r="F7" s="13" t="s">
        <v>21</v>
      </c>
      <c r="G7" s="13">
        <v>15884546766</v>
      </c>
      <c r="H7" s="13" t="s">
        <v>22</v>
      </c>
      <c r="I7" s="13">
        <v>18128131927</v>
      </c>
      <c r="J7" s="11" t="str">
        <f t="shared" si="0"/>
        <v>有见证取样送检</v>
      </c>
      <c r="XES7"/>
    </row>
    <row r="8" ht="25" customHeight="1" spans="1:16373">
      <c r="A8" s="11" t="s">
        <v>29</v>
      </c>
      <c r="B8" s="14" t="s">
        <v>30</v>
      </c>
      <c r="C8" s="11" t="s">
        <v>14</v>
      </c>
      <c r="D8" s="11" t="s">
        <v>14</v>
      </c>
      <c r="E8" s="13" t="s">
        <v>20</v>
      </c>
      <c r="F8" s="13" t="s">
        <v>21</v>
      </c>
      <c r="G8" s="13">
        <v>15884546766</v>
      </c>
      <c r="H8" s="13" t="s">
        <v>22</v>
      </c>
      <c r="I8" s="13">
        <v>18128131927</v>
      </c>
      <c r="J8" s="11" t="str">
        <f t="shared" si="0"/>
        <v>有见证取样送检</v>
      </c>
      <c r="XES8"/>
    </row>
    <row r="9" ht="25" customHeight="1" spans="1:16373">
      <c r="A9" s="11" t="s">
        <v>31</v>
      </c>
      <c r="B9" s="1" t="s">
        <v>32</v>
      </c>
      <c r="C9" s="1" t="s">
        <v>33</v>
      </c>
      <c r="D9" s="1" t="s">
        <v>33</v>
      </c>
      <c r="E9" s="1" t="s">
        <v>34</v>
      </c>
      <c r="F9" s="1" t="s">
        <v>35</v>
      </c>
      <c r="G9" s="1">
        <v>15288669020</v>
      </c>
      <c r="H9" s="1" t="s">
        <v>36</v>
      </c>
      <c r="I9" s="15">
        <v>18182238027</v>
      </c>
      <c r="J9" s="11" t="str">
        <f t="shared" si="0"/>
        <v>有见证取样送检</v>
      </c>
      <c r="XES9"/>
    </row>
    <row r="10" ht="25" customHeight="1" spans="1:16373">
      <c r="A10"/>
      <c r="B10"/>
      <c r="C10"/>
      <c r="D10"/>
      <c r="E10"/>
      <c r="F10"/>
      <c r="G10"/>
      <c r="H10"/>
      <c r="I10"/>
      <c r="J10"/>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J2"/>
  <sheetViews>
    <sheetView tabSelected="1" workbookViewId="0">
      <selection activeCell="H25" sqref="H25"/>
    </sheetView>
  </sheetViews>
  <sheetFormatPr defaultColWidth="9" defaultRowHeight="13.5" outlineLevelRow="1"/>
  <cols>
    <col min="2" max="2" width="28.75" customWidth="1"/>
  </cols>
  <sheetData>
    <row r="1" ht="20.25" spans="1:10">
      <c r="A1" s="8" t="s">
        <v>37</v>
      </c>
      <c r="B1" s="8"/>
      <c r="C1" s="8"/>
      <c r="D1" s="8"/>
      <c r="E1" s="8"/>
      <c r="F1" s="8"/>
      <c r="G1" s="8"/>
      <c r="H1" s="8"/>
      <c r="I1" s="8"/>
      <c r="J1" s="8"/>
    </row>
    <row r="2" s="7" customFormat="1" ht="24" customHeight="1" spans="1:10">
      <c r="A2" s="9" t="s">
        <v>1</v>
      </c>
      <c r="B2" s="10" t="s">
        <v>38</v>
      </c>
      <c r="C2" s="9" t="s">
        <v>39</v>
      </c>
      <c r="D2" s="9" t="s">
        <v>40</v>
      </c>
      <c r="E2" s="9" t="s">
        <v>41</v>
      </c>
      <c r="F2" s="9" t="s">
        <v>42</v>
      </c>
      <c r="G2" s="9" t="s">
        <v>43</v>
      </c>
      <c r="H2" s="9" t="s">
        <v>44</v>
      </c>
      <c r="I2" s="9" t="s">
        <v>45</v>
      </c>
      <c r="J2" s="7" t="s">
        <v>46</v>
      </c>
    </row>
  </sheetData>
  <mergeCells count="1">
    <mergeCell ref="A1:J1"/>
  </mergeCells>
  <dataValidations count="1">
    <dataValidation type="list" allowBlank="1" showInputMessage="1" showErrorMessage="1" sqref="F3 F4:F20">
      <formula1>"上面层,下面层"</formula1>
    </dataValidation>
  </dataValidation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N17"/>
  <sheetViews>
    <sheetView workbookViewId="0">
      <selection activeCell="B12" sqref="B12"/>
    </sheetView>
  </sheetViews>
  <sheetFormatPr defaultColWidth="9" defaultRowHeight="13.5"/>
  <cols>
    <col min="1" max="1" width="9" style="1"/>
    <col min="2" max="2" width="17.5" style="1" customWidth="1"/>
    <col min="3" max="3" width="17.75" style="1" customWidth="1"/>
    <col min="4" max="4" width="11" style="1" customWidth="1"/>
    <col min="5" max="5" width="32.875" style="1" customWidth="1"/>
    <col min="6" max="7" width="9" style="1"/>
    <col min="8" max="8" width="17.75" style="1" customWidth="1"/>
    <col min="9" max="9" width="10.375" style="1"/>
    <col min="10" max="10" width="16.75" style="1" customWidth="1"/>
    <col min="11" max="11" width="12.125" style="1" customWidth="1"/>
    <col min="12" max="13" width="9" style="1"/>
    <col min="14" max="14" width="14.5" style="1" customWidth="1"/>
    <col min="15" max="16384" width="9" style="1"/>
  </cols>
  <sheetData>
    <row r="1" ht="18.75" spans="1:8">
      <c r="A1" s="2" t="s">
        <v>47</v>
      </c>
      <c r="B1" s="2"/>
      <c r="C1" s="2"/>
      <c r="D1" s="2"/>
      <c r="E1" s="2"/>
      <c r="F1" s="2"/>
      <c r="G1" s="2"/>
      <c r="H1" s="2"/>
    </row>
    <row r="2" ht="25" customHeight="1" spans="1:10">
      <c r="A2" s="3" t="s">
        <v>3</v>
      </c>
      <c r="B2" s="3" t="s">
        <v>48</v>
      </c>
      <c r="C2" s="3"/>
      <c r="D2" s="3"/>
      <c r="E2" s="3"/>
      <c r="F2" s="3"/>
      <c r="G2" s="3"/>
      <c r="H2" s="3"/>
      <c r="I2" s="1" t="s">
        <v>49</v>
      </c>
      <c r="J2" s="1" t="str">
        <f>IF(B5&lt;&gt;"","有见证取样送检","委托检测")</f>
        <v>有见证取样送检</v>
      </c>
    </row>
    <row r="3" ht="25" customHeight="1" spans="1:8">
      <c r="A3" s="3" t="s">
        <v>4</v>
      </c>
      <c r="B3" s="3" t="s">
        <v>48</v>
      </c>
      <c r="C3" s="3"/>
      <c r="D3" s="3"/>
      <c r="E3" s="3"/>
      <c r="F3" s="3"/>
      <c r="G3" s="3"/>
      <c r="H3" s="3"/>
    </row>
    <row r="4" ht="25" customHeight="1" spans="1:8">
      <c r="A4" s="3" t="s">
        <v>5</v>
      </c>
      <c r="B4" s="3" t="s">
        <v>50</v>
      </c>
      <c r="C4" s="3"/>
      <c r="D4" s="3"/>
      <c r="E4" s="3"/>
      <c r="F4" s="3"/>
      <c r="G4" s="3"/>
      <c r="H4" s="3"/>
    </row>
    <row r="5" ht="25" customHeight="1" spans="1:8">
      <c r="A5" s="3" t="s">
        <v>6</v>
      </c>
      <c r="B5" s="3" t="s">
        <v>51</v>
      </c>
      <c r="C5" s="3"/>
      <c r="D5" s="3"/>
      <c r="E5" s="4" t="s">
        <v>7</v>
      </c>
      <c r="F5" s="3">
        <v>18048460602</v>
      </c>
      <c r="G5" s="3"/>
      <c r="H5" s="3"/>
    </row>
    <row r="6" ht="25" customHeight="1" spans="1:8">
      <c r="A6" s="3" t="s">
        <v>8</v>
      </c>
      <c r="B6" s="3" t="s">
        <v>52</v>
      </c>
      <c r="C6" s="3"/>
      <c r="D6" s="3"/>
      <c r="E6" s="4" t="s">
        <v>9</v>
      </c>
      <c r="F6" s="3">
        <v>18284850370</v>
      </c>
      <c r="G6" s="3"/>
      <c r="H6" s="3"/>
    </row>
    <row r="7" ht="25" customHeight="1" spans="1:13">
      <c r="A7" s="1" t="s">
        <v>53</v>
      </c>
      <c r="B7" s="1" t="s">
        <v>54</v>
      </c>
      <c r="C7" s="1" t="s">
        <v>39</v>
      </c>
      <c r="D7" s="1" t="s">
        <v>40</v>
      </c>
      <c r="E7" s="1" t="s">
        <v>41</v>
      </c>
      <c r="F7" s="1" t="s">
        <v>42</v>
      </c>
      <c r="G7" s="1" t="s">
        <v>43</v>
      </c>
      <c r="H7" s="1" t="s">
        <v>44</v>
      </c>
      <c r="I7" s="1" t="s">
        <v>45</v>
      </c>
      <c r="J7" s="1" t="s">
        <v>55</v>
      </c>
      <c r="K7" s="1" t="s">
        <v>56</v>
      </c>
      <c r="M7" s="1" t="s">
        <v>57</v>
      </c>
    </row>
    <row r="8" ht="25" customHeight="1" spans="1:14">
      <c r="A8" s="1">
        <v>1</v>
      </c>
      <c r="B8" s="1" t="s">
        <v>58</v>
      </c>
      <c r="C8" s="5" t="s">
        <v>59</v>
      </c>
      <c r="D8" s="5" t="s">
        <v>60</v>
      </c>
      <c r="E8" s="5" t="s">
        <v>61</v>
      </c>
      <c r="F8" s="1" t="s">
        <v>62</v>
      </c>
      <c r="G8" s="1" t="s">
        <v>63</v>
      </c>
      <c r="H8" s="5" t="s">
        <v>64</v>
      </c>
      <c r="I8" s="6">
        <v>44365</v>
      </c>
      <c r="J8" s="6">
        <f>I8+2</f>
        <v>44367</v>
      </c>
      <c r="K8" s="6">
        <f>J8</f>
        <v>44367</v>
      </c>
      <c r="M8" s="1">
        <v>6.18</v>
      </c>
      <c r="N8" s="5" t="s">
        <v>65</v>
      </c>
    </row>
    <row r="9" ht="25" customHeight="1" spans="1:14">
      <c r="A9" s="1">
        <v>2</v>
      </c>
      <c r="B9" s="1" t="s">
        <v>58</v>
      </c>
      <c r="C9" s="5" t="s">
        <v>59</v>
      </c>
      <c r="D9" s="5" t="s">
        <v>66</v>
      </c>
      <c r="E9" s="5" t="s">
        <v>61</v>
      </c>
      <c r="F9" s="1" t="s">
        <v>67</v>
      </c>
      <c r="G9" s="1" t="s">
        <v>63</v>
      </c>
      <c r="H9" s="5" t="s">
        <v>68</v>
      </c>
      <c r="I9" s="6">
        <v>44365</v>
      </c>
      <c r="J9" s="6">
        <f>I9+2</f>
        <v>44367</v>
      </c>
      <c r="K9" s="6">
        <f>J9</f>
        <v>44367</v>
      </c>
      <c r="M9" s="1">
        <v>6.18</v>
      </c>
      <c r="N9" s="5" t="s">
        <v>69</v>
      </c>
    </row>
    <row r="10" ht="25" customHeight="1"/>
    <row r="11" ht="25" customHeight="1"/>
    <row r="12" ht="25" customHeight="1"/>
    <row r="13" ht="25" customHeight="1"/>
    <row r="14" ht="25" customHeight="1"/>
    <row r="15" ht="25" customHeight="1"/>
    <row r="16" ht="25" customHeight="1"/>
    <row r="17" ht="25" customHeight="1"/>
  </sheetData>
  <mergeCells count="8">
    <mergeCell ref="A1:H1"/>
    <mergeCell ref="B2:H2"/>
    <mergeCell ref="B3:H3"/>
    <mergeCell ref="B4:H4"/>
    <mergeCell ref="B5:D5"/>
    <mergeCell ref="F5:H5"/>
    <mergeCell ref="B6:D6"/>
    <mergeCell ref="F6:H6"/>
  </mergeCells>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
  <sheetViews>
    <sheetView workbookViewId="0">
      <selection activeCell="A1" sqref="A1"/>
    </sheetView>
  </sheetViews>
  <sheetFormatPr defaultColWidth="9" defaultRowHeight="13.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A1" sqref="A1"/>
    </sheetView>
  </sheetViews>
  <sheetFormatPr defaultColWidth="9" defaultRowHeight="13.5"/>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5</vt:i4>
      </vt:variant>
    </vt:vector>
  </HeadingPairs>
  <TitlesOfParts>
    <vt:vector size="5" baseType="lpstr">
      <vt:lpstr>委托单位信息</vt:lpstr>
      <vt:lpstr>沥青混合料检测</vt:lpstr>
      <vt:lpstr>委托单</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浪</cp:lastModifiedBy>
  <dcterms:created xsi:type="dcterms:W3CDTF">2021-06-24T08:45:00Z</dcterms:created>
  <dcterms:modified xsi:type="dcterms:W3CDTF">2021-08-03T06:17:35Z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2052-11.1.0.10667</vt:lpwstr>
  </property>
  <property fmtid="{D5CDD505-2E9C-101B-9397-08002B2CF9AE}" pid="3" name="ICV">
    <vt:lpwstr>D4286C4C2F5A4C50A2B1240878CBD9EB</vt:lpwstr>
  </property>
</Properties>
</file>