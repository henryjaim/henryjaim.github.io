
<file path=[Content_Types].xml><?xml version="1.0" encoding="utf-8"?>
<Types xmlns="http://schemas.openxmlformats.org/package/2006/content-types">
  <Default Extension="vml" ContentType="application/vnd.openxmlformats-officedocument.vmlDrawing"/>
  <Default Extension="wmf" ContentType="image/x-wmf"/>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activeX/activeX4.bin" ContentType="application/vnd.ms-office.activeX"/>
  <Override PartName="/xl/activeX/activeX4.xml" ContentType="application/vnd.ms-office.activeX+xml"/>
  <Override PartName="/xl/activeX/activeX5.bin" ContentType="application/vnd.ms-office.activeX"/>
  <Override PartName="/xl/activeX/activeX5.xml" ContentType="application/vnd.ms-office.activeX+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3880" windowHeight="11400" firstSheet="4" activeTab="7"/>
  </bookViews>
  <sheets>
    <sheet name="委托单位信息" sheetId="3" r:id="rId1"/>
    <sheet name="混凝土抗压检测" sheetId="6" r:id="rId2"/>
    <sheet name="委托单" sheetId="1" r:id="rId3"/>
    <sheet name="混凝土抗压强度检测报告" sheetId="2" r:id="rId4"/>
    <sheet name="150201-2021000581" sheetId="7" r:id="rId5"/>
    <sheet name="150201-2021000537" sheetId="8" r:id="rId6"/>
    <sheet name="150201-2021000524" sheetId="9" r:id="rId7"/>
    <sheet name="150201-2021000413" sheetId="10" r:id="rId8"/>
  </sheets>
  <externalReferences>
    <externalReference r:id="rId9"/>
    <externalReference r:id="rId10"/>
  </externalReferences>
  <definedNames>
    <definedName name="检测类型">[2]辅助计算表!$C$2:$U$2</definedName>
    <definedName name="混凝土抗压强度检测">[2]辅助计算表!$C$3:$C$180</definedName>
    <definedName name="砂浆抗压强度检测">[2]辅助计算表!$D$3:$D$180</definedName>
    <definedName name="混凝土配合比检测">[2]辅助计算表!$E$3:$E$180</definedName>
    <definedName name="砂浆配合比检测">[2]辅助计算表!$F$3:$F$180</definedName>
    <definedName name="砂料检测">[2]辅助计算表!$G$3:$G$180</definedName>
    <definedName name="碎石检测">[2]辅助计算表!$H$3:$H$180</definedName>
    <definedName name="水泥检测">[2]辅助计算表!$I$3:$I$180</definedName>
    <definedName name="钢筋检测">[2]辅助计算表!$J$3:$J$180</definedName>
    <definedName name="钢筋接头检测">[2]辅助计算表!$K$3:$K$180</definedName>
    <definedName name="砌体材料检测">[2]辅助计算表!$L$3:$L$181</definedName>
    <definedName name="实体检测">[2]辅助计算表!$M$3:$M$180</definedName>
    <definedName name="地基基础检测">[2]辅助计算表!$N$3:$N$180</definedName>
    <definedName name="路基检测">[2]辅助计算表!$O$3:$O$180</definedName>
    <definedName name="建筑节能检测">[2]辅助计算表!$P$3:$P$180</definedName>
    <definedName name="管线检测">[2]辅助计算表!$Q$3:$Q$180</definedName>
    <definedName name="防水卷材">[2]辅助计算表!$R$3:$R$180</definedName>
    <definedName name="混凝土抗渗检测">[2]辅助计算表!$S$3:$S$180</definedName>
    <definedName name="项目类别">[1]子目!$I$3:$J$3</definedName>
    <definedName name="固定资产">[1]子目!$I$4:$I$19</definedName>
    <definedName name="运营支出">[1]子目!$J$4:$J$190</definedName>
    <definedName name="网费">[1]子目!$K$4:$K$19</definedName>
    <definedName name="差旅费">[1]子目!$L$4:$L$19</definedName>
    <definedName name="接待费">[1]子目!$M$4:$M$19</definedName>
    <definedName name="人工费">[1]子目!$N$4:$N$19</definedName>
    <definedName name="材料费">[1]子目!$O$4:$O$19</definedName>
    <definedName name="维护费">[1]子目!$P$4:$P$19</definedName>
    <definedName name="_xlnm.Print_Area" localSheetId="3">混凝土抗压强度检测报告!$A$1:$H$23</definedName>
    <definedName name="_xlnm.Print_Area" localSheetId="2">委托单!$A$1:$U$104</definedName>
    <definedName name="_xlnm.Print_Area" localSheetId="4">'150201-2021000581'!$A$1:$H$23</definedName>
    <definedName name="_xlnm.Print_Area" localSheetId="5">'150201-2021000537'!$A$1:$H$23</definedName>
    <definedName name="_xlnm.Print_Area" localSheetId="6">'150201-2021000524'!$A$1:$H$23</definedName>
    <definedName name="_xlnm.Print_Area" localSheetId="7">'150201-2021000413'!$A$1:$H$23</definedName>
  </definedNames>
  <calcPr calcId="144525"/>
</workbook>
</file>

<file path=xl/sharedStrings.xml><?xml version="1.0" encoding="utf-8"?>
<sst xmlns="http://schemas.openxmlformats.org/spreadsheetml/2006/main" count="639" uniqueCount="183">
  <si>
    <t>委托单位信息</t>
  </si>
  <si>
    <t>编号</t>
  </si>
  <si>
    <t>工程名称</t>
  </si>
  <si>
    <t>委托单位</t>
  </si>
  <si>
    <t>施工单位</t>
  </si>
  <si>
    <t>见证单位</t>
  </si>
  <si>
    <t>见证人</t>
  </si>
  <si>
    <t>见证人电话</t>
  </si>
  <si>
    <t>送检人</t>
  </si>
  <si>
    <t>送检人电话</t>
  </si>
  <si>
    <t>委托类型</t>
  </si>
  <si>
    <t>备注</t>
  </si>
  <si>
    <t>XW001</t>
  </si>
  <si>
    <t>青神县瑞峰镇中岩村1组德云寺滑坡地质灾害工程治理项目</t>
  </si>
  <si>
    <t>新疆地质工程有限公司</t>
  </si>
  <si>
    <t>武汉宏基建设工程监理有限公司</t>
  </si>
  <si>
    <t>吴坤林</t>
  </si>
  <si>
    <t>安广荣</t>
  </si>
  <si>
    <t>XW002</t>
  </si>
  <si>
    <t>芦山县太平镇大河村赵家坪后山崩塌治理工程清淤加固项目</t>
  </si>
  <si>
    <t>中新凯瑞工程咨询有限公司</t>
  </si>
  <si>
    <t>马建明</t>
  </si>
  <si>
    <t>耿盛林</t>
  </si>
  <si>
    <t>XW003</t>
  </si>
  <si>
    <t>芦山县大川镇三江村集中安置点老李沟泥石流治理工程清淤加固项目</t>
  </si>
  <si>
    <t>XW004</t>
  </si>
  <si>
    <t>芦山县大川镇小河村水坝子组泥石流治理工程清淤加固项目</t>
  </si>
  <si>
    <t>XW005</t>
  </si>
  <si>
    <t>芦山县太平镇春光村董家沟泥石流治理工程清淤加固项目</t>
  </si>
  <si>
    <t>XW006</t>
  </si>
  <si>
    <r>
      <rPr>
        <sz val="11"/>
        <color theme="1"/>
        <rFont val="宋体"/>
        <charset val="134"/>
        <scheme val="minor"/>
      </rPr>
      <t>芦山县大川镇小河村水坝子组泥石流等7处治理工程清淤加固项目(</t>
    </r>
    <r>
      <rPr>
        <sz val="9"/>
        <color theme="1"/>
        <rFont val="宋体"/>
        <charset val="134"/>
        <scheme val="minor"/>
      </rPr>
      <t>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t>
    </r>
    <r>
      <rPr>
        <sz val="11"/>
        <color theme="1"/>
        <rFont val="宋体"/>
        <charset val="134"/>
        <scheme val="minor"/>
      </rPr>
      <t>）</t>
    </r>
  </si>
  <si>
    <t>XW007</t>
  </si>
  <si>
    <t>宁209井区中心站综合值班用房及配套工程</t>
  </si>
  <si>
    <t>四川蜀渝石油建筑安装工程有限责任公司</t>
  </si>
  <si>
    <t>四川华成油气工程建设监理有限公司</t>
  </si>
  <si>
    <t>胡晓强</t>
  </si>
  <si>
    <t>邓茂桥</t>
  </si>
  <si>
    <t>XW008</t>
  </si>
  <si>
    <t>宜宾祥泰纸浆模塑环保餐具项目一期工程</t>
  </si>
  <si>
    <t>宜宾祥泰环保科技有限公司</t>
  </si>
  <si>
    <t>重庆必然工程建设有限公司</t>
  </si>
  <si>
    <t>贾三江</t>
  </si>
  <si>
    <t>魏波</t>
  </si>
  <si>
    <t>XW009</t>
  </si>
  <si>
    <t>兴文县麒麟苗族乡海纳村党群服务中心建设项目</t>
  </si>
  <si>
    <t>兴文县鼎立建筑工程有限公司</t>
  </si>
  <si>
    <t>——</t>
  </si>
  <si>
    <t>曾志平</t>
  </si>
  <si>
    <t>委托送样检测</t>
  </si>
  <si>
    <t>XW010</t>
  </si>
  <si>
    <t>兴文县仙峰苗族乡居坪村（现合庆村）党群服务中心项目工程</t>
  </si>
  <si>
    <t>四川加承建设工程有限公司</t>
  </si>
  <si>
    <t>崔毓龙</t>
  </si>
  <si>
    <t>混凝土抗压强度检测样品信息</t>
  </si>
  <si>
    <t>项目名称</t>
  </si>
  <si>
    <t>混凝土种类</t>
  </si>
  <si>
    <t>混凝土等级</t>
  </si>
  <si>
    <t>粗骨料最大粒径（㎜）</t>
  </si>
  <si>
    <t>型号规格</t>
  </si>
  <si>
    <t>使用部位</t>
  </si>
  <si>
    <t>代表批量</t>
  </si>
  <si>
    <t>成型日期</t>
  </si>
  <si>
    <t>送样数量（组）</t>
  </si>
  <si>
    <t>检测编号</t>
  </si>
  <si>
    <t>送检日期</t>
  </si>
  <si>
    <t>养护方式</t>
  </si>
  <si>
    <t>商品砼</t>
  </si>
  <si>
    <t>C30</t>
  </si>
  <si>
    <t>100×100×100</t>
  </si>
  <si>
    <t>车间二1轴-21轴承台、地梁、短柱</t>
  </si>
  <si>
    <r>
      <rPr>
        <sz val="11"/>
        <color theme="1"/>
        <rFont val="宋体"/>
        <charset val="134"/>
        <scheme val="minor"/>
      </rPr>
      <t>15m</t>
    </r>
    <r>
      <rPr>
        <vertAlign val="superscript"/>
        <sz val="11"/>
        <color theme="1"/>
        <rFont val="宋体"/>
        <charset val="134"/>
        <scheme val="minor"/>
      </rPr>
      <t>3</t>
    </r>
  </si>
  <si>
    <t>150201-2021000912</t>
  </si>
  <si>
    <t>标准养护</t>
  </si>
  <si>
    <t>150201-2021000913</t>
  </si>
  <si>
    <t>150201-2021000914</t>
  </si>
  <si>
    <t>（综合楼）桩号2</t>
  </si>
  <si>
    <t>150201-2021000955</t>
  </si>
  <si>
    <t>（综合楼）桩号5</t>
  </si>
  <si>
    <t>150201-2021000956</t>
  </si>
  <si>
    <t>（综合楼）桩号7</t>
  </si>
  <si>
    <t>150201-2021000957</t>
  </si>
  <si>
    <t>（倒班楼）桩号12</t>
  </si>
  <si>
    <t>150201-2021000958</t>
  </si>
  <si>
    <t>（倒班楼）桩号13</t>
  </si>
  <si>
    <t>150201-2021000959</t>
  </si>
  <si>
    <t>（倒班楼）桩号6</t>
  </si>
  <si>
    <t>150201-2021000960</t>
  </si>
  <si>
    <t>（倒班楼）桩号7</t>
  </si>
  <si>
    <t>150201-2021000961</t>
  </si>
  <si>
    <t>自拌砼</t>
  </si>
  <si>
    <t>独立柱基</t>
  </si>
  <si>
    <t>13m3</t>
  </si>
  <si>
    <t>150201-2020000078</t>
  </si>
  <si>
    <t>基础短柱</t>
  </si>
  <si>
    <t>15m3</t>
  </si>
  <si>
    <t>150201-2020000065</t>
  </si>
  <si>
    <t>地圈梁</t>
  </si>
  <si>
    <t>18m3</t>
  </si>
  <si>
    <t>150201-2020000090</t>
  </si>
  <si>
    <t>一层梁、板、柱、梯</t>
  </si>
  <si>
    <t>28m3</t>
  </si>
  <si>
    <t>150201-2020000096</t>
  </si>
  <si>
    <t>二层梁、板、柱、</t>
  </si>
  <si>
    <t>25m3</t>
  </si>
  <si>
    <t>150201-2020000113</t>
  </si>
  <si>
    <t>基础</t>
  </si>
  <si>
    <t>100m3</t>
  </si>
  <si>
    <t>150201-2021000413</t>
  </si>
  <si>
    <t>地梁</t>
  </si>
  <si>
    <t>150201-2021000524</t>
  </si>
  <si>
    <t>一层梁板柱</t>
  </si>
  <si>
    <t>150201-2021000537</t>
  </si>
  <si>
    <t>二层梁板柱</t>
  </si>
  <si>
    <t>150201-2021000581</t>
  </si>
  <si>
    <t>标号</t>
  </si>
  <si>
    <t>破坏荷载</t>
  </si>
  <si>
    <t>取样类型</t>
  </si>
  <si>
    <t>100.0×100.0×100.0</t>
  </si>
  <si>
    <t>150.0×150.0×150.0</t>
  </si>
  <si>
    <t>200.0×200.0×200.0</t>
  </si>
  <si>
    <t>受压面积</t>
  </si>
  <si>
    <t>系数</t>
  </si>
  <si>
    <t>最小值</t>
  </si>
  <si>
    <t>最大值</t>
  </si>
  <si>
    <t>基础值</t>
  </si>
  <si>
    <t>序号</t>
  </si>
  <si>
    <t>检测项目</t>
  </si>
  <si>
    <t>样品信息</t>
  </si>
  <si>
    <t>检测日期</t>
  </si>
  <si>
    <t>报告日期</t>
  </si>
  <si>
    <t>面积</t>
  </si>
  <si>
    <t>平均抗压强度</t>
  </si>
  <si>
    <t>C15</t>
  </si>
  <si>
    <t>设计强度等级</t>
  </si>
  <si>
    <t>试件
规格（㎜）</t>
  </si>
  <si>
    <t>试件使用部位</t>
  </si>
  <si>
    <t>样品数量</t>
  </si>
  <si>
    <t>C20</t>
  </si>
  <si>
    <t>混凝土抗压强度检测</t>
  </si>
  <si>
    <t>C25</t>
  </si>
  <si>
    <t>C35</t>
  </si>
  <si>
    <t>C40</t>
  </si>
  <si>
    <t>C45</t>
  </si>
  <si>
    <t>C50</t>
  </si>
  <si>
    <t>第1个抗压强度</t>
  </si>
  <si>
    <t>第2个抗压强度</t>
  </si>
  <si>
    <t>第3个抗压强度</t>
  </si>
  <si>
    <t>中间值</t>
  </si>
  <si>
    <t>最小值与中间值差值</t>
  </si>
  <si>
    <t>最大值与中间值差值</t>
  </si>
  <si>
    <t>代码与函数计算误差</t>
  </si>
  <si>
    <t>检测编号：</t>
  </si>
  <si>
    <t xml:space="preserve">     四川恒固建设工程检测有限公司</t>
  </si>
  <si>
    <t>地址：</t>
  </si>
  <si>
    <t>兴文县古宋镇马栏湾二组中华苑3号楼1层26户室</t>
  </si>
  <si>
    <t>TEL：</t>
  </si>
  <si>
    <t>0831-8833125</t>
  </si>
  <si>
    <t>混凝土抗压强度检测报告</t>
  </si>
  <si>
    <t>返回委托单</t>
  </si>
  <si>
    <t>见证人及编号</t>
  </si>
  <si>
    <t>标养编号</t>
  </si>
  <si>
    <t>-</t>
  </si>
  <si>
    <t>强度等级</t>
  </si>
  <si>
    <t>养护方式及龄期</t>
  </si>
  <si>
    <t>标准养护 28d</t>
  </si>
  <si>
    <r>
      <rPr>
        <sz val="10.5"/>
        <color theme="1"/>
        <rFont val="宋体"/>
        <charset val="134"/>
      </rPr>
      <t>100m</t>
    </r>
    <r>
      <rPr>
        <vertAlign val="superscript"/>
        <sz val="10.5"/>
        <color theme="1"/>
        <rFont val="宋体"/>
        <charset val="134"/>
      </rPr>
      <t>3</t>
    </r>
  </si>
  <si>
    <t>样品状态描述</t>
  </si>
  <si>
    <t>青灰色；表面平整的立方体；无破损；微量孔洞。</t>
  </si>
  <si>
    <t>检测依据</t>
  </si>
  <si>
    <t>GB/T 50081-2019</t>
  </si>
  <si>
    <t>试件编号</t>
  </si>
  <si>
    <t>试件尺寸（mm)
(长×宽×高）</t>
  </si>
  <si>
    <t>破坏荷载
（kN）</t>
  </si>
  <si>
    <t>抗压强度（MPa)</t>
  </si>
  <si>
    <t>抗压强度值（MPa)</t>
  </si>
  <si>
    <t>委托方自行标养。</t>
  </si>
  <si>
    <t>声明</t>
  </si>
  <si>
    <t>1.未加盖本公司“检验检测专用章”，报告无效。
2.送样检测，仅对来样检测负责。
3.对报告若有异议，应及时向检测单位提出。
4.复制报告未重新加盖本公司“检验检测专用章”，报告无效。</t>
  </si>
  <si>
    <t>签发：</t>
  </si>
  <si>
    <t>审核：</t>
  </si>
  <si>
    <t>检测：</t>
  </si>
  <si>
    <t>标准养护   28d</t>
  </si>
  <si>
    <r>
      <t>100m</t>
    </r>
    <r>
      <rPr>
        <vertAlign val="superscript"/>
        <sz val="10.5"/>
        <color theme="1"/>
        <rFont val="宋体"/>
        <charset val="134"/>
      </rPr>
      <t>3</t>
    </r>
  </si>
</sst>
</file>

<file path=xl/styles.xml><?xml version="1.0" encoding="utf-8"?>
<styleSheet xmlns="http://schemas.openxmlformats.org/spreadsheetml/2006/main">
  <numFmts count="10">
    <numFmt numFmtId="176" formatCode="yyyy/mm/dd"/>
    <numFmt numFmtId="43" formatCode="_ * #,##0.00_ ;_ * \-#,##0.00_ ;_ * &quot;-&quot;??_ ;_ @_ "/>
    <numFmt numFmtId="177" formatCode="0_ "/>
    <numFmt numFmtId="44" formatCode="_ &quot;￥&quot;* #,##0.00_ ;_ &quot;￥&quot;* \-#,##0.00_ ;_ &quot;￥&quot;* &quot;-&quot;??_ ;_ @_ "/>
    <numFmt numFmtId="178" formatCode="0.0_ "/>
    <numFmt numFmtId="42" formatCode="_ &quot;￥&quot;* #,##0_ ;_ &quot;￥&quot;* \-#,##0_ ;_ &quot;￥&quot;* &quot;-&quot;_ ;_ @_ "/>
    <numFmt numFmtId="41" formatCode="_ * #,##0_ ;_ * \-#,##0_ ;_ * &quot;-&quot;_ ;_ @_ "/>
    <numFmt numFmtId="179" formatCode="0.0%"/>
    <numFmt numFmtId="180" formatCode="yyyy/m/d;@"/>
    <numFmt numFmtId="181" formatCode="0.0_);[Red]\(0.0\)"/>
  </numFmts>
  <fonts count="36">
    <font>
      <sz val="11"/>
      <color theme="1"/>
      <name val="宋体"/>
      <charset val="134"/>
      <scheme val="minor"/>
    </font>
    <font>
      <sz val="9"/>
      <color theme="1"/>
      <name val="宋体"/>
      <charset val="134"/>
      <scheme val="minor"/>
    </font>
    <font>
      <sz val="8"/>
      <color theme="1"/>
      <name val="宋体"/>
      <charset val="134"/>
      <scheme val="minor"/>
    </font>
    <font>
      <b/>
      <sz val="20"/>
      <color theme="1"/>
      <name val="宋体"/>
      <charset val="134"/>
    </font>
    <font>
      <sz val="10.5"/>
      <color theme="1"/>
      <name val="宋体"/>
      <charset val="134"/>
    </font>
    <font>
      <sz val="9"/>
      <color theme="1"/>
      <name val="宋体"/>
      <charset val="134"/>
    </font>
    <font>
      <sz val="10"/>
      <color theme="1"/>
      <name val="宋体"/>
      <charset val="134"/>
      <scheme val="minor"/>
    </font>
    <font>
      <u/>
      <sz val="11"/>
      <color rgb="FF0000FF"/>
      <name val="宋体"/>
      <charset val="0"/>
      <scheme val="minor"/>
    </font>
    <font>
      <sz val="11"/>
      <name val="宋体"/>
      <charset val="134"/>
      <scheme val="minor"/>
    </font>
    <font>
      <b/>
      <sz val="14"/>
      <color theme="1"/>
      <name val="宋体"/>
      <charset val="134"/>
      <scheme val="minor"/>
    </font>
    <font>
      <sz val="12"/>
      <name val="宋体"/>
      <charset val="134"/>
    </font>
    <font>
      <sz val="11"/>
      <color theme="1"/>
      <name val="宋体"/>
      <charset val="134"/>
    </font>
    <font>
      <sz val="11"/>
      <name val="宋体"/>
      <charset val="134"/>
    </font>
    <font>
      <b/>
      <sz val="11"/>
      <color theme="1"/>
      <name val="宋体"/>
      <charset val="134"/>
      <scheme val="minor"/>
    </font>
    <font>
      <b/>
      <sz val="16"/>
      <color theme="1"/>
      <name val="宋体"/>
      <charset val="134"/>
      <scheme val="minor"/>
    </font>
    <font>
      <sz val="12"/>
      <color theme="1"/>
      <name val="宋体"/>
      <charset val="134"/>
    </font>
    <font>
      <sz val="11"/>
      <color theme="1"/>
      <name val="宋体"/>
      <charset val="0"/>
      <scheme val="minor"/>
    </font>
    <font>
      <sz val="11"/>
      <color rgb="FF9C0006"/>
      <name val="宋体"/>
      <charset val="0"/>
      <scheme val="minor"/>
    </font>
    <font>
      <sz val="11"/>
      <color rgb="FF9C6500"/>
      <name val="宋体"/>
      <charset val="0"/>
      <scheme val="minor"/>
    </font>
    <font>
      <sz val="11"/>
      <color rgb="FF3F3F76"/>
      <name val="宋体"/>
      <charset val="0"/>
      <scheme val="minor"/>
    </font>
    <font>
      <sz val="11"/>
      <color theme="0"/>
      <name val="宋体"/>
      <charset val="0"/>
      <scheme val="minor"/>
    </font>
    <font>
      <u/>
      <sz val="11"/>
      <color rgb="FF800080"/>
      <name val="宋体"/>
      <charset val="0"/>
      <scheme val="minor"/>
    </font>
    <font>
      <sz val="11"/>
      <color rgb="FFFA7D0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1"/>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006100"/>
      <name val="宋体"/>
      <charset val="0"/>
      <scheme val="minor"/>
    </font>
    <font>
      <vertAlign val="superscript"/>
      <sz val="10.5"/>
      <color theme="1"/>
      <name val="宋体"/>
      <charset val="134"/>
    </font>
    <font>
      <vertAlign val="superscript"/>
      <sz val="11"/>
      <color theme="1"/>
      <name val="宋体"/>
      <charset val="134"/>
      <scheme val="minor"/>
    </font>
  </fonts>
  <fills count="34">
    <fill>
      <patternFill patternType="none"/>
    </fill>
    <fill>
      <patternFill patternType="gray125"/>
    </fill>
    <fill>
      <patternFill patternType="solid">
        <fgColor rgb="FFFFFF00"/>
        <bgColor indexed="64"/>
      </patternFill>
    </fill>
    <fill>
      <patternFill patternType="solid">
        <fgColor theme="4" tint="0.599993896298105"/>
        <bgColor indexed="64"/>
      </patternFill>
    </fill>
    <fill>
      <patternFill patternType="solid">
        <fgColor rgb="FFFFC7CE"/>
        <bgColor indexed="64"/>
      </patternFill>
    </fill>
    <fill>
      <patternFill patternType="solid">
        <fgColor rgb="FFFFEB9C"/>
        <bgColor indexed="64"/>
      </patternFill>
    </fill>
    <fill>
      <patternFill patternType="solid">
        <fgColor rgb="FFFFCC99"/>
        <bgColor indexed="64"/>
      </patternFill>
    </fill>
    <fill>
      <patternFill patternType="solid">
        <fgColor theme="4" tint="0.399975585192419"/>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9"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rgb="FFFFFFCC"/>
        <bgColor indexed="64"/>
      </patternFill>
    </fill>
    <fill>
      <patternFill patternType="solid">
        <fgColor theme="9" tint="0.599993896298105"/>
        <bgColor indexed="64"/>
      </patternFill>
    </fill>
    <fill>
      <patternFill patternType="solid">
        <fgColor theme="7"/>
        <bgColor indexed="64"/>
      </patternFill>
    </fill>
    <fill>
      <patternFill patternType="solid">
        <fgColor theme="5" tint="0.599993896298105"/>
        <bgColor indexed="64"/>
      </patternFill>
    </fill>
    <fill>
      <patternFill patternType="solid">
        <fgColor theme="7" tint="0.799981688894314"/>
        <bgColor indexed="64"/>
      </patternFill>
    </fill>
    <fill>
      <patternFill patternType="solid">
        <fgColor theme="6"/>
        <bgColor indexed="64"/>
      </patternFill>
    </fill>
    <fill>
      <patternFill patternType="solid">
        <fgColor theme="7" tint="0.399975585192419"/>
        <bgColor indexed="64"/>
      </patternFill>
    </fill>
    <fill>
      <patternFill patternType="solid">
        <fgColor rgb="FFF2F2F2"/>
        <bgColor indexed="64"/>
      </patternFill>
    </fill>
    <fill>
      <patternFill patternType="solid">
        <fgColor theme="4"/>
        <bgColor indexed="64"/>
      </patternFill>
    </fill>
    <fill>
      <patternFill patternType="solid">
        <fgColor rgb="FFA5A5A5"/>
        <bgColor indexed="64"/>
      </patternFill>
    </fill>
    <fill>
      <patternFill patternType="solid">
        <fgColor theme="5"/>
        <bgColor indexed="64"/>
      </patternFill>
    </fill>
    <fill>
      <patternFill patternType="solid">
        <fgColor theme="4" tint="0.799981688894314"/>
        <bgColor indexed="64"/>
      </patternFill>
    </fill>
    <fill>
      <patternFill patternType="solid">
        <fgColor rgb="FFC6EFCE"/>
        <bgColor indexed="64"/>
      </patternFill>
    </fill>
    <fill>
      <patternFill patternType="solid">
        <fgColor theme="8" tint="0.799981688894314"/>
        <bgColor indexed="64"/>
      </patternFill>
    </fill>
    <fill>
      <patternFill patternType="solid">
        <fgColor theme="9"/>
        <bgColor indexed="64"/>
      </patternFill>
    </fill>
    <fill>
      <patternFill patternType="solid">
        <fgColor theme="7" tint="0.599993896298105"/>
        <bgColor indexed="64"/>
      </patternFill>
    </fill>
    <fill>
      <patternFill patternType="solid">
        <fgColor theme="5" tint="0.799981688894314"/>
        <bgColor indexed="64"/>
      </patternFill>
    </fill>
    <fill>
      <patternFill patternType="solid">
        <fgColor theme="9" tint="0.399975585192419"/>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s>
  <borders count="20">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bottom style="medium">
        <color theme="4"/>
      </bottom>
      <diagonal/>
    </border>
    <border>
      <left/>
      <right/>
      <top/>
      <bottom style="medium">
        <color theme="4" tint="0.499984740745262"/>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s>
  <cellStyleXfs count="49">
    <xf numFmtId="0" fontId="0" fillId="0" borderId="0">
      <alignment vertical="center"/>
    </xf>
    <xf numFmtId="42" fontId="0" fillId="0" borderId="0" applyFont="0" applyFill="0" applyBorder="0" applyAlignment="0" applyProtection="0">
      <alignment vertical="center"/>
    </xf>
    <xf numFmtId="0" fontId="16" fillId="9" borderId="0" applyNumberFormat="0" applyBorder="0" applyAlignment="0" applyProtection="0">
      <alignment vertical="center"/>
    </xf>
    <xf numFmtId="0" fontId="19" fillId="6"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6" fillId="11" borderId="0" applyNumberFormat="0" applyBorder="0" applyAlignment="0" applyProtection="0">
      <alignment vertical="center"/>
    </xf>
    <xf numFmtId="0" fontId="17" fillId="4" borderId="0" applyNumberFormat="0" applyBorder="0" applyAlignment="0" applyProtection="0">
      <alignment vertical="center"/>
    </xf>
    <xf numFmtId="43" fontId="0" fillId="0" borderId="0" applyFont="0" applyFill="0" applyBorder="0" applyAlignment="0" applyProtection="0">
      <alignment vertical="center"/>
    </xf>
    <xf numFmtId="0" fontId="20" fillId="12" borderId="0" applyNumberFormat="0" applyBorder="0" applyAlignment="0" applyProtection="0">
      <alignment vertical="center"/>
    </xf>
    <xf numFmtId="0" fontId="7" fillId="0" borderId="0" applyNumberFormat="0" applyFill="0" applyBorder="0" applyAlignment="0" applyProtection="0">
      <alignment vertical="center"/>
    </xf>
    <xf numFmtId="9" fontId="0" fillId="0" borderId="0" applyFont="0" applyFill="0" applyBorder="0" applyAlignment="0" applyProtection="0">
      <alignment vertical="center"/>
    </xf>
    <xf numFmtId="0" fontId="21" fillId="0" borderId="0" applyNumberFormat="0" applyFill="0" applyBorder="0" applyAlignment="0" applyProtection="0">
      <alignment vertical="center"/>
    </xf>
    <xf numFmtId="0" fontId="0" fillId="13" borderId="13" applyNumberFormat="0" applyFont="0" applyAlignment="0" applyProtection="0">
      <alignment vertical="center"/>
    </xf>
    <xf numFmtId="0" fontId="20" fillId="8" borderId="0" applyNumberFormat="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5" applyNumberFormat="0" applyFill="0" applyAlignment="0" applyProtection="0">
      <alignment vertical="center"/>
    </xf>
    <xf numFmtId="0" fontId="28" fillId="0" borderId="15" applyNumberFormat="0" applyFill="0" applyAlignment="0" applyProtection="0">
      <alignment vertical="center"/>
    </xf>
    <xf numFmtId="0" fontId="20" fillId="7" borderId="0" applyNumberFormat="0" applyBorder="0" applyAlignment="0" applyProtection="0">
      <alignment vertical="center"/>
    </xf>
    <xf numFmtId="0" fontId="23" fillId="0" borderId="16" applyNumberFormat="0" applyFill="0" applyAlignment="0" applyProtection="0">
      <alignment vertical="center"/>
    </xf>
    <xf numFmtId="0" fontId="20" fillId="19" borderId="0" applyNumberFormat="0" applyBorder="0" applyAlignment="0" applyProtection="0">
      <alignment vertical="center"/>
    </xf>
    <xf numFmtId="0" fontId="30" fillId="20" borderId="18" applyNumberFormat="0" applyAlignment="0" applyProtection="0">
      <alignment vertical="center"/>
    </xf>
    <xf numFmtId="0" fontId="31" fillId="20" borderId="12" applyNumberFormat="0" applyAlignment="0" applyProtection="0">
      <alignment vertical="center"/>
    </xf>
    <xf numFmtId="0" fontId="32" fillId="22" borderId="19" applyNumberFormat="0" applyAlignment="0" applyProtection="0">
      <alignment vertical="center"/>
    </xf>
    <xf numFmtId="0" fontId="16" fillId="10" borderId="0" applyNumberFormat="0" applyBorder="0" applyAlignment="0" applyProtection="0">
      <alignment vertical="center"/>
    </xf>
    <xf numFmtId="0" fontId="20" fillId="23" borderId="0" applyNumberFormat="0" applyBorder="0" applyAlignment="0" applyProtection="0">
      <alignment vertical="center"/>
    </xf>
    <xf numFmtId="0" fontId="22" fillId="0" borderId="14" applyNumberFormat="0" applyFill="0" applyAlignment="0" applyProtection="0">
      <alignment vertical="center"/>
    </xf>
    <xf numFmtId="0" fontId="29" fillId="0" borderId="17" applyNumberFormat="0" applyFill="0" applyAlignment="0" applyProtection="0">
      <alignment vertical="center"/>
    </xf>
    <xf numFmtId="0" fontId="33" fillId="25" borderId="0" applyNumberFormat="0" applyBorder="0" applyAlignment="0" applyProtection="0">
      <alignment vertical="center"/>
    </xf>
    <xf numFmtId="0" fontId="18" fillId="5" borderId="0" applyNumberFormat="0" applyBorder="0" applyAlignment="0" applyProtection="0">
      <alignment vertical="center"/>
    </xf>
    <xf numFmtId="0" fontId="16" fillId="26" borderId="0" applyNumberFormat="0" applyBorder="0" applyAlignment="0" applyProtection="0">
      <alignment vertical="center"/>
    </xf>
    <xf numFmtId="0" fontId="20" fillId="21" borderId="0" applyNumberFormat="0" applyBorder="0" applyAlignment="0" applyProtection="0">
      <alignment vertical="center"/>
    </xf>
    <xf numFmtId="0" fontId="16" fillId="24" borderId="0" applyNumberFormat="0" applyBorder="0" applyAlignment="0" applyProtection="0">
      <alignment vertical="center"/>
    </xf>
    <xf numFmtId="0" fontId="16" fillId="3" borderId="0" applyNumberFormat="0" applyBorder="0" applyAlignment="0" applyProtection="0">
      <alignment vertical="center"/>
    </xf>
    <xf numFmtId="0" fontId="16" fillId="29" borderId="0" applyNumberFormat="0" applyBorder="0" applyAlignment="0" applyProtection="0">
      <alignment vertical="center"/>
    </xf>
    <xf numFmtId="0" fontId="16" fillId="16" borderId="0" applyNumberFormat="0" applyBorder="0" applyAlignment="0" applyProtection="0">
      <alignment vertical="center"/>
    </xf>
    <xf numFmtId="0" fontId="20" fillId="18" borderId="0" applyNumberFormat="0" applyBorder="0" applyAlignment="0" applyProtection="0">
      <alignment vertical="center"/>
    </xf>
    <xf numFmtId="0" fontId="20" fillId="15" borderId="0" applyNumberFormat="0" applyBorder="0" applyAlignment="0" applyProtection="0">
      <alignment vertical="center"/>
    </xf>
    <xf numFmtId="0" fontId="16" fillId="17" borderId="0" applyNumberFormat="0" applyBorder="0" applyAlignment="0" applyProtection="0">
      <alignment vertical="center"/>
    </xf>
    <xf numFmtId="0" fontId="16" fillId="28" borderId="0" applyNumberFormat="0" applyBorder="0" applyAlignment="0" applyProtection="0">
      <alignment vertical="center"/>
    </xf>
    <xf numFmtId="0" fontId="20" fillId="31" borderId="0" applyNumberFormat="0" applyBorder="0" applyAlignment="0" applyProtection="0">
      <alignment vertical="center"/>
    </xf>
    <xf numFmtId="0" fontId="16" fillId="32" borderId="0" applyNumberFormat="0" applyBorder="0" applyAlignment="0" applyProtection="0">
      <alignment vertical="center"/>
    </xf>
    <xf numFmtId="0" fontId="20" fillId="33" borderId="0" applyNumberFormat="0" applyBorder="0" applyAlignment="0" applyProtection="0">
      <alignment vertical="center"/>
    </xf>
    <xf numFmtId="0" fontId="20" fillId="27" borderId="0" applyNumberFormat="0" applyBorder="0" applyAlignment="0" applyProtection="0">
      <alignment vertical="center"/>
    </xf>
    <xf numFmtId="0" fontId="16" fillId="14" borderId="0" applyNumberFormat="0" applyBorder="0" applyAlignment="0" applyProtection="0">
      <alignment vertical="center"/>
    </xf>
    <xf numFmtId="0" fontId="20" fillId="30" borderId="0" applyNumberFormat="0" applyBorder="0" applyAlignment="0" applyProtection="0">
      <alignment vertical="center"/>
    </xf>
  </cellStyleXfs>
  <cellXfs count="95">
    <xf numFmtId="0" fontId="0" fillId="0" borderId="0" xfId="0">
      <alignment vertical="center"/>
    </xf>
    <xf numFmtId="0" fontId="0" fillId="0" borderId="0" xfId="0" applyFill="1" applyAlignment="1">
      <alignment horizontal="center" vertical="center"/>
    </xf>
    <xf numFmtId="0" fontId="0" fillId="0" borderId="0" xfId="0" applyFill="1" applyAlignment="1">
      <alignment vertical="center"/>
    </xf>
    <xf numFmtId="0" fontId="0" fillId="0" borderId="1" xfId="0" applyFill="1" applyBorder="1" applyAlignment="1">
      <alignment horizontal="right" vertical="center" wrapText="1"/>
    </xf>
    <xf numFmtId="0" fontId="0" fillId="0" borderId="2" xfId="0" applyFill="1" applyBorder="1" applyAlignment="1">
      <alignment horizontal="center" vertical="center" wrapText="1"/>
    </xf>
    <xf numFmtId="0" fontId="0" fillId="0" borderId="3" xfId="0" applyFill="1" applyBorder="1" applyAlignment="1">
      <alignment horizontal="center" vertical="center" wrapText="1"/>
    </xf>
    <xf numFmtId="0" fontId="0" fillId="0" borderId="0" xfId="0" applyFill="1" applyBorder="1" applyAlignment="1">
      <alignment vertical="center" wrapText="1"/>
    </xf>
    <xf numFmtId="0" fontId="1" fillId="0" borderId="0" xfId="0" applyFont="1" applyFill="1" applyAlignment="1">
      <alignment horizontal="left" vertical="center"/>
    </xf>
    <xf numFmtId="0" fontId="0" fillId="0" borderId="0" xfId="0" applyFill="1" applyAlignment="1">
      <alignment horizontal="center" vertical="center" wrapText="1"/>
    </xf>
    <xf numFmtId="0" fontId="1" fillId="0" borderId="0" xfId="0" applyFont="1" applyFill="1" applyAlignment="1">
      <alignment horizontal="right" vertical="center"/>
    </xf>
    <xf numFmtId="0" fontId="2" fillId="0" borderId="0" xfId="0" applyFont="1" applyFill="1" applyAlignment="1">
      <alignment horizontal="left" vertical="center"/>
    </xf>
    <xf numFmtId="0" fontId="0" fillId="0" borderId="4" xfId="0" applyFill="1" applyBorder="1" applyAlignment="1">
      <alignment horizontal="center" vertical="center" wrapText="1"/>
    </xf>
    <xf numFmtId="0" fontId="0" fillId="0" borderId="4" xfId="0" applyFill="1" applyBorder="1" applyAlignment="1">
      <alignment horizontal="center" vertical="center"/>
    </xf>
    <xf numFmtId="0" fontId="1" fillId="0" borderId="4" xfId="0" applyFont="1" applyFill="1" applyBorder="1" applyAlignment="1">
      <alignment horizontal="right" vertical="center"/>
    </xf>
    <xf numFmtId="0" fontId="1" fillId="0" borderId="4" xfId="0" applyFont="1" applyFill="1" applyBorder="1" applyAlignment="1">
      <alignment horizontal="left" vertical="center"/>
    </xf>
    <xf numFmtId="0" fontId="1" fillId="0" borderId="0" xfId="0" applyFont="1" applyFill="1" applyAlignment="1">
      <alignment horizontal="center" vertical="center"/>
    </xf>
    <xf numFmtId="0" fontId="3" fillId="0" borderId="0" xfId="0" applyFont="1" applyFill="1" applyAlignment="1">
      <alignment horizontal="center" vertical="center"/>
    </xf>
    <xf numFmtId="0" fontId="4" fillId="0" borderId="5" xfId="0" applyFont="1" applyFill="1" applyBorder="1" applyAlignment="1">
      <alignment horizontal="center" vertical="center" wrapText="1"/>
    </xf>
    <xf numFmtId="0" fontId="4" fillId="0" borderId="5" xfId="0" applyFont="1" applyFill="1" applyBorder="1" applyAlignment="1">
      <alignment horizontal="left" vertical="center" wrapText="1"/>
    </xf>
    <xf numFmtId="176" fontId="4" fillId="0" borderId="5" xfId="0" applyNumberFormat="1" applyFont="1" applyFill="1" applyBorder="1" applyAlignment="1">
      <alignment horizontal="center" vertical="center" wrapText="1"/>
    </xf>
    <xf numFmtId="178" fontId="4" fillId="0" borderId="5" xfId="0" applyNumberFormat="1" applyFont="1" applyFill="1" applyBorder="1" applyAlignment="1">
      <alignment horizontal="center" vertical="center" wrapText="1"/>
    </xf>
    <xf numFmtId="178" fontId="4" fillId="0" borderId="6" xfId="0" applyNumberFormat="1" applyFont="1" applyFill="1" applyBorder="1" applyAlignment="1">
      <alignment horizontal="center" vertical="center" wrapText="1"/>
    </xf>
    <xf numFmtId="178" fontId="4" fillId="0" borderId="7" xfId="0" applyNumberFormat="1" applyFont="1" applyFill="1" applyBorder="1" applyAlignment="1">
      <alignment horizontal="center" vertical="center" wrapText="1"/>
    </xf>
    <xf numFmtId="178" fontId="4" fillId="0" borderId="8" xfId="0" applyNumberFormat="1" applyFont="1" applyFill="1" applyBorder="1" applyAlignment="1">
      <alignment horizontal="center" vertical="center" wrapText="1"/>
    </xf>
    <xf numFmtId="178" fontId="4" fillId="0" borderId="9" xfId="0" applyNumberFormat="1" applyFont="1" applyFill="1" applyBorder="1" applyAlignment="1">
      <alignment horizontal="center" vertical="center" wrapText="1"/>
    </xf>
    <xf numFmtId="178" fontId="4" fillId="0" borderId="10" xfId="0" applyNumberFormat="1" applyFont="1" applyFill="1" applyBorder="1" applyAlignment="1">
      <alignment horizontal="center" vertical="center" wrapText="1"/>
    </xf>
    <xf numFmtId="178" fontId="4" fillId="0" borderId="11" xfId="0" applyNumberFormat="1" applyFont="1" applyFill="1" applyBorder="1" applyAlignment="1">
      <alignment horizontal="center" vertical="center" wrapText="1"/>
    </xf>
    <xf numFmtId="0" fontId="5" fillId="0" borderId="5" xfId="0" applyFont="1" applyFill="1" applyBorder="1" applyAlignment="1">
      <alignment horizontal="center" vertical="center" wrapText="1"/>
    </xf>
    <xf numFmtId="0" fontId="5" fillId="0" borderId="1" xfId="0" applyFont="1" applyFill="1" applyBorder="1" applyAlignment="1">
      <alignment horizontal="left" vertical="center" wrapText="1"/>
    </xf>
    <xf numFmtId="0" fontId="5" fillId="0" borderId="2" xfId="0" applyFont="1" applyFill="1" applyBorder="1" applyAlignment="1">
      <alignment horizontal="left" vertical="center" wrapText="1"/>
    </xf>
    <xf numFmtId="0" fontId="5" fillId="0" borderId="3" xfId="0" applyFont="1" applyFill="1" applyBorder="1" applyAlignment="1">
      <alignment horizontal="left" vertical="center" wrapText="1"/>
    </xf>
    <xf numFmtId="0" fontId="5" fillId="0" borderId="0" xfId="0" applyFont="1" applyFill="1" applyAlignment="1">
      <alignment horizontal="center" vertical="center" wrapText="1"/>
    </xf>
    <xf numFmtId="0" fontId="5" fillId="0" borderId="0" xfId="0" applyFont="1" applyFill="1" applyAlignment="1">
      <alignment horizontal="left" vertical="center" wrapText="1"/>
    </xf>
    <xf numFmtId="0" fontId="6" fillId="0" borderId="0" xfId="0" applyFont="1" applyFill="1" applyAlignment="1">
      <alignment horizontal="right" vertical="center" wrapText="1"/>
    </xf>
    <xf numFmtId="0" fontId="6" fillId="0" borderId="0" xfId="0" applyFont="1" applyFill="1" applyAlignment="1">
      <alignment horizontal="left" vertical="center" wrapText="1"/>
    </xf>
    <xf numFmtId="0" fontId="6" fillId="0" borderId="0" xfId="0" applyFont="1" applyFill="1" applyAlignment="1">
      <alignment horizontal="center" vertical="center" wrapText="1"/>
    </xf>
    <xf numFmtId="0" fontId="6" fillId="0" borderId="0" xfId="0" applyFont="1" applyFill="1" applyAlignment="1">
      <alignment vertical="center" wrapText="1"/>
    </xf>
    <xf numFmtId="0" fontId="7" fillId="0" borderId="0" xfId="10" applyFill="1" applyAlignment="1">
      <alignment vertical="center"/>
    </xf>
    <xf numFmtId="49" fontId="0" fillId="0" borderId="0" xfId="0" applyNumberFormat="1" applyFill="1" applyAlignment="1">
      <alignment horizontal="center" vertical="center"/>
    </xf>
    <xf numFmtId="176" fontId="4" fillId="0" borderId="0" xfId="0" applyNumberFormat="1" applyFont="1" applyFill="1" applyBorder="1" applyAlignment="1">
      <alignment vertical="center" wrapText="1"/>
    </xf>
    <xf numFmtId="180" fontId="0" fillId="0" borderId="0" xfId="0" applyNumberFormat="1" applyFill="1" applyAlignment="1">
      <alignment horizontal="center" vertical="center"/>
    </xf>
    <xf numFmtId="0" fontId="0" fillId="2" borderId="0" xfId="0" applyFill="1">
      <alignment vertical="center"/>
    </xf>
    <xf numFmtId="0" fontId="0" fillId="0" borderId="0" xfId="0" applyFill="1">
      <alignment vertical="center"/>
    </xf>
    <xf numFmtId="180" fontId="0" fillId="0" borderId="0" xfId="0" applyNumberFormat="1" applyFont="1" applyFill="1">
      <alignment vertical="center"/>
    </xf>
    <xf numFmtId="0" fontId="0" fillId="0" borderId="0" xfId="0" applyFont="1" applyFill="1">
      <alignment vertical="center"/>
    </xf>
    <xf numFmtId="0" fontId="0" fillId="0" borderId="0" xfId="0" applyAlignment="1">
      <alignment horizontal="center" vertical="center"/>
    </xf>
    <xf numFmtId="181" fontId="0" fillId="0" borderId="0" xfId="0" applyNumberFormat="1" applyAlignment="1">
      <alignment horizontal="center" vertical="center"/>
    </xf>
    <xf numFmtId="0" fontId="8" fillId="0" borderId="0" xfId="0" applyFont="1" applyAlignment="1">
      <alignment horizontal="center" vertical="center"/>
    </xf>
    <xf numFmtId="0" fontId="9" fillId="0" borderId="0" xfId="0" applyFont="1" applyAlignment="1">
      <alignment horizontal="center" vertical="center"/>
    </xf>
    <xf numFmtId="0" fontId="9" fillId="0" borderId="0" xfId="0" applyFont="1" applyFill="1" applyAlignment="1">
      <alignment horizontal="center" vertical="center"/>
    </xf>
    <xf numFmtId="0" fontId="0" fillId="0" borderId="0" xfId="0" applyBorder="1" applyAlignment="1">
      <alignment horizontal="center" vertical="center"/>
    </xf>
    <xf numFmtId="0" fontId="4" fillId="0" borderId="0" xfId="0" applyFont="1" applyFill="1" applyBorder="1" applyAlignment="1">
      <alignment horizontal="center" vertical="center" wrapText="1"/>
    </xf>
    <xf numFmtId="0" fontId="0" fillId="0" borderId="0" xfId="0" applyFill="1" applyBorder="1" applyAlignment="1">
      <alignment horizontal="center" vertical="center"/>
    </xf>
    <xf numFmtId="0" fontId="0" fillId="0" borderId="0" xfId="0" applyFill="1" applyBorder="1" applyAlignment="1">
      <alignment horizontal="center" vertical="center" wrapText="1"/>
    </xf>
    <xf numFmtId="0" fontId="0" fillId="0" borderId="0" xfId="0" applyAlignment="1">
      <alignment horizontal="center" vertical="center" wrapText="1"/>
    </xf>
    <xf numFmtId="0" fontId="10" fillId="0" borderId="5" xfId="0" applyFont="1" applyFill="1" applyBorder="1" applyAlignment="1">
      <alignment horizontal="center" vertical="center" wrapText="1"/>
    </xf>
    <xf numFmtId="0" fontId="0" fillId="0" borderId="0" xfId="0" applyFont="1" applyAlignment="1">
      <alignment horizontal="center" vertical="center"/>
    </xf>
    <xf numFmtId="0" fontId="4" fillId="0" borderId="0" xfId="0" applyFont="1" applyFill="1" applyBorder="1" applyAlignment="1">
      <alignment horizontal="center" vertical="center"/>
    </xf>
    <xf numFmtId="180" fontId="0" fillId="0" borderId="0" xfId="0" applyNumberFormat="1" applyFont="1" applyFill="1" applyAlignment="1">
      <alignment horizontal="center" vertical="center"/>
    </xf>
    <xf numFmtId="0" fontId="0" fillId="0" borderId="0" xfId="0" applyFont="1" applyFill="1" applyAlignment="1">
      <alignment horizontal="center" vertical="center"/>
    </xf>
    <xf numFmtId="14" fontId="0" fillId="0" borderId="0" xfId="0" applyNumberFormat="1" applyAlignment="1">
      <alignment horizontal="center" vertical="center"/>
    </xf>
    <xf numFmtId="180" fontId="0" fillId="0" borderId="5" xfId="0" applyNumberFormat="1" applyBorder="1" applyAlignment="1">
      <alignment horizontal="left" vertical="center"/>
    </xf>
    <xf numFmtId="14" fontId="11" fillId="0" borderId="0" xfId="0" applyNumberFormat="1" applyFont="1" applyFill="1" applyBorder="1" applyAlignment="1">
      <alignment horizontal="center" vertical="center"/>
    </xf>
    <xf numFmtId="14" fontId="12" fillId="0" borderId="5" xfId="0" applyNumberFormat="1" applyFont="1" applyFill="1" applyBorder="1" applyAlignment="1">
      <alignment horizontal="center" vertical="center"/>
    </xf>
    <xf numFmtId="180" fontId="0" fillId="0" borderId="0" xfId="0" applyNumberFormat="1" applyAlignment="1">
      <alignment horizontal="center" vertical="center"/>
    </xf>
    <xf numFmtId="180" fontId="11" fillId="0" borderId="0" xfId="0" applyNumberFormat="1" applyFont="1" applyFill="1" applyBorder="1" applyAlignment="1">
      <alignment horizontal="center" vertical="center"/>
    </xf>
    <xf numFmtId="14" fontId="4" fillId="0" borderId="0" xfId="0" applyNumberFormat="1" applyFont="1" applyFill="1" applyBorder="1" applyAlignment="1">
      <alignment horizontal="center" vertical="center"/>
    </xf>
    <xf numFmtId="0" fontId="0" fillId="0" borderId="5" xfId="0" applyBorder="1" applyAlignment="1">
      <alignment horizontal="center" vertical="center"/>
    </xf>
    <xf numFmtId="0" fontId="0" fillId="0" borderId="5" xfId="0" applyFont="1" applyBorder="1" applyAlignment="1">
      <alignment horizontal="center" vertical="center"/>
    </xf>
    <xf numFmtId="0" fontId="0" fillId="0" borderId="5" xfId="0" applyFont="1" applyFill="1" applyBorder="1" applyAlignment="1">
      <alignment horizontal="center" vertical="center"/>
    </xf>
    <xf numFmtId="0" fontId="8" fillId="0" borderId="0" xfId="0" applyFont="1" applyAlignment="1">
      <alignment horizontal="center" vertical="center" wrapText="1"/>
    </xf>
    <xf numFmtId="178" fontId="8" fillId="0" borderId="0" xfId="0" applyNumberFormat="1" applyFont="1" applyFill="1" applyAlignment="1">
      <alignment horizontal="center" vertical="center"/>
    </xf>
    <xf numFmtId="181" fontId="0" fillId="0" borderId="0" xfId="0" applyNumberFormat="1" applyFill="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5" xfId="0" applyFont="1" applyBorder="1" applyAlignment="1">
      <alignment horizontal="center" vertical="center" wrapText="1"/>
    </xf>
    <xf numFmtId="177" fontId="0" fillId="0" borderId="5" xfId="0" applyNumberFormat="1" applyBorder="1" applyAlignment="1">
      <alignment horizontal="center" vertical="center"/>
    </xf>
    <xf numFmtId="0" fontId="0" fillId="2" borderId="3" xfId="0" applyFill="1" applyBorder="1" applyAlignment="1">
      <alignment horizontal="center" vertical="center"/>
    </xf>
    <xf numFmtId="0" fontId="0" fillId="2" borderId="5" xfId="0" applyFill="1" applyBorder="1" applyAlignment="1">
      <alignment horizontal="center" vertical="center"/>
    </xf>
    <xf numFmtId="179" fontId="8" fillId="0" borderId="0" xfId="11" applyNumberFormat="1" applyFont="1" applyAlignment="1">
      <alignment vertical="center" wrapText="1"/>
    </xf>
    <xf numFmtId="179" fontId="0" fillId="0" borderId="0" xfId="11" applyNumberFormat="1">
      <alignment vertical="center"/>
    </xf>
    <xf numFmtId="0" fontId="13" fillId="0" borderId="0" xfId="0" applyFont="1" applyAlignment="1">
      <alignment horizontal="center" vertical="center"/>
    </xf>
    <xf numFmtId="0" fontId="14" fillId="0" borderId="0" xfId="0" applyFont="1" applyAlignment="1">
      <alignment horizontal="center" vertical="center"/>
    </xf>
    <xf numFmtId="0" fontId="13" fillId="0" borderId="0" xfId="0" applyFont="1" applyAlignment="1">
      <alignment horizontal="center" vertical="center" wrapText="1"/>
    </xf>
    <xf numFmtId="0" fontId="13" fillId="0" borderId="0" xfId="0" applyFont="1" applyBorder="1" applyAlignment="1">
      <alignment horizontal="center" vertical="center" wrapText="1"/>
    </xf>
    <xf numFmtId="0" fontId="0" fillId="0" borderId="0" xfId="0" applyFont="1" applyAlignment="1">
      <alignment horizontal="center" vertical="center" wrapText="1"/>
    </xf>
    <xf numFmtId="180" fontId="14" fillId="0" borderId="0" xfId="0" applyNumberFormat="1" applyFont="1" applyAlignment="1">
      <alignment horizontal="center" vertical="center"/>
    </xf>
    <xf numFmtId="180" fontId="13" fillId="0" borderId="0" xfId="0" applyNumberFormat="1" applyFont="1" applyAlignment="1">
      <alignment horizontal="center" vertical="center"/>
    </xf>
    <xf numFmtId="0" fontId="13" fillId="0" borderId="0" xfId="0" applyNumberFormat="1" applyFont="1" applyAlignment="1">
      <alignment horizontal="center" vertical="center"/>
    </xf>
    <xf numFmtId="14" fontId="12" fillId="0" borderId="0" xfId="0" applyNumberFormat="1" applyFont="1" applyFill="1" applyBorder="1" applyAlignment="1">
      <alignment horizontal="center" vertical="center"/>
    </xf>
    <xf numFmtId="0" fontId="15" fillId="0" borderId="0" xfId="0" applyFont="1" applyAlignment="1">
      <alignment horizontal="center" vertical="center" wrapText="1"/>
    </xf>
    <xf numFmtId="0" fontId="15"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xf>
    <xf numFmtId="0" fontId="4" fillId="0" borderId="0" xfId="0" applyFont="1" applyAlignment="1">
      <alignment horizontal="justify"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ont>
        <color rgb="FF9C0006"/>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externalLink" Target="externalLinks/externalLink1.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microsoft.com/office/2006/relationships/vbaProject" Target="vbaProject.bin"/><Relationship Id="rId13" Type="http://schemas.openxmlformats.org/officeDocument/2006/relationships/sharedStrings" Target="sharedStrings.xml"/><Relationship Id="rId12" Type="http://schemas.openxmlformats.org/officeDocument/2006/relationships/styles" Target="styles.xml"/><Relationship Id="rId11" Type="http://schemas.openxmlformats.org/officeDocument/2006/relationships/theme" Target="theme/theme1.xml"/><Relationship Id="rId10" Type="http://schemas.openxmlformats.org/officeDocument/2006/relationships/externalLink" Target="externalLinks/externalLink2.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activeX/activeX4.xml><?xml version="1.0" encoding="utf-8"?>
<ax:ocx xmlns:ax="http://schemas.microsoft.com/office/2006/activeX" xmlns:r="http://schemas.openxmlformats.org/officeDocument/2006/relationships" ax:classid="{D7053240-CE69-11CD-A777-00DD01143C57}" r:id="rId1" ax:persistence="persistStreamInit"/>
</file>

<file path=xl/activeX/activeX5.xml><?xml version="1.0" encoding="utf-8"?>
<ax:ocx xmlns:ax="http://schemas.microsoft.com/office/2006/activeX" xmlns:r="http://schemas.openxmlformats.org/officeDocument/2006/relationships" ax:classid="{D7053240-CE69-11CD-A777-00DD01143C57}" r:id="rId1" ax:persistence="persistStreamInit"/>
</file>

<file path=xl/drawings/_rels/drawing2.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jpeg"/></Relationships>
</file>

<file path=xl/drawings/_rels/drawing4.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jpeg"/></Relationships>
</file>

<file path=xl/drawings/_rels/drawing5.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jpeg"/></Relationships>
</file>

<file path=xl/drawings/_rels/vmlDrawing1.vml.rels><?xml version="1.0" encoding="UTF-8" standalone="yes"?>
<Relationships xmlns="http://schemas.openxmlformats.org/package/2006/relationships"><Relationship Id="rId5" Type="http://schemas.openxmlformats.org/officeDocument/2006/relationships/image" Target="../media/image5.wmf"/><Relationship Id="rId4" Type="http://schemas.openxmlformats.org/officeDocument/2006/relationships/image" Target="../media/image4.wmf"/><Relationship Id="rId3" Type="http://schemas.openxmlformats.org/officeDocument/2006/relationships/image" Target="../media/image3.wmf"/><Relationship Id="rId2" Type="http://schemas.openxmlformats.org/officeDocument/2006/relationships/image" Target="../media/image2.wmf"/><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17</xdr:col>
          <xdr:colOff>133350</xdr:colOff>
          <xdr:row>4</xdr:row>
          <xdr:rowOff>114300</xdr:rowOff>
        </xdr:from>
        <xdr:to>
          <xdr:col>19</xdr:col>
          <xdr:colOff>523875</xdr:colOff>
          <xdr:row>5</xdr:row>
          <xdr:rowOff>238125</xdr:rowOff>
        </xdr:to>
        <xdr:sp>
          <xdr:nvSpPr>
            <xdr:cNvPr id="2049" name="CommandButton1" hidden="1">
              <a:extLst>
                <a:ext uri="{63B3BB69-23CF-44E3-9099-C40C66FF867C}">
                  <a14:compatExt spid="_x0000_s2049"/>
                </a:ext>
              </a:extLst>
            </xdr:cNvPr>
            <xdr:cNvSpPr/>
          </xdr:nvSpPr>
          <xdr:spPr>
            <a:xfrm>
              <a:off x="17677130" y="1409700"/>
              <a:ext cx="1762125" cy="4413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304800</xdr:colOff>
          <xdr:row>2</xdr:row>
          <xdr:rowOff>180975</xdr:rowOff>
        </xdr:from>
        <xdr:to>
          <xdr:col>16</xdr:col>
          <xdr:colOff>95250</xdr:colOff>
          <xdr:row>3</xdr:row>
          <xdr:rowOff>238125</xdr:rowOff>
        </xdr:to>
        <xdr:sp>
          <xdr:nvSpPr>
            <xdr:cNvPr id="2050" name="CommandButton2" hidden="1">
              <a:extLst>
                <a:ext uri="{63B3BB69-23CF-44E3-9099-C40C66FF867C}">
                  <a14:compatExt spid="_x0000_s2050"/>
                </a:ext>
              </a:extLst>
            </xdr:cNvPr>
            <xdr:cNvSpPr/>
          </xdr:nvSpPr>
          <xdr:spPr>
            <a:xfrm>
              <a:off x="15324455" y="841375"/>
              <a:ext cx="1628775" cy="3746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323850</xdr:colOff>
          <xdr:row>4</xdr:row>
          <xdr:rowOff>28575</xdr:rowOff>
        </xdr:from>
        <xdr:to>
          <xdr:col>16</xdr:col>
          <xdr:colOff>114300</xdr:colOff>
          <xdr:row>5</xdr:row>
          <xdr:rowOff>85725</xdr:rowOff>
        </xdr:to>
        <xdr:sp>
          <xdr:nvSpPr>
            <xdr:cNvPr id="2051" name="CommandButton3" hidden="1">
              <a:extLst>
                <a:ext uri="{63B3BB69-23CF-44E3-9099-C40C66FF867C}">
                  <a14:compatExt spid="_x0000_s2051"/>
                </a:ext>
              </a:extLst>
            </xdr:cNvPr>
            <xdr:cNvSpPr/>
          </xdr:nvSpPr>
          <xdr:spPr>
            <a:xfrm>
              <a:off x="15343505" y="1323975"/>
              <a:ext cx="1628775" cy="3746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108585</xdr:colOff>
          <xdr:row>2</xdr:row>
          <xdr:rowOff>95885</xdr:rowOff>
        </xdr:from>
        <xdr:to>
          <xdr:col>19</xdr:col>
          <xdr:colOff>534670</xdr:colOff>
          <xdr:row>3</xdr:row>
          <xdr:rowOff>252730</xdr:rowOff>
        </xdr:to>
        <xdr:sp>
          <xdr:nvSpPr>
            <xdr:cNvPr id="2052" name="CommandButton4" hidden="1">
              <a:extLst>
                <a:ext uri="{63B3BB69-23CF-44E3-9099-C40C66FF867C}">
                  <a14:compatExt spid="_x0000_s2052"/>
                </a:ext>
              </a:extLst>
            </xdr:cNvPr>
            <xdr:cNvSpPr/>
          </xdr:nvSpPr>
          <xdr:spPr>
            <a:xfrm>
              <a:off x="17652365" y="756285"/>
              <a:ext cx="1797685" cy="4743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64770</xdr:colOff>
          <xdr:row>0</xdr:row>
          <xdr:rowOff>300990</xdr:rowOff>
        </xdr:from>
        <xdr:to>
          <xdr:col>19</xdr:col>
          <xdr:colOff>568960</xdr:colOff>
          <xdr:row>2</xdr:row>
          <xdr:rowOff>64770</xdr:rowOff>
        </xdr:to>
        <xdr:sp>
          <xdr:nvSpPr>
            <xdr:cNvPr id="2053" name="CommandButton5" hidden="1">
              <a:extLst>
                <a:ext uri="{63B3BB69-23CF-44E3-9099-C40C66FF867C}">
                  <a14:compatExt spid="_x0000_s2053"/>
                </a:ext>
              </a:extLst>
            </xdr:cNvPr>
            <xdr:cNvSpPr/>
          </xdr:nvSpPr>
          <xdr:spPr>
            <a:xfrm>
              <a:off x="17608550" y="300990"/>
              <a:ext cx="1875790" cy="424180"/>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85725</xdr:colOff>
      <xdr:row>22</xdr:row>
      <xdr:rowOff>30480</xdr:rowOff>
    </xdr:from>
    <xdr:to>
      <xdr:col>2</xdr:col>
      <xdr:colOff>97790</xdr:colOff>
      <xdr:row>22</xdr:row>
      <xdr:rowOff>460375</xdr:rowOff>
    </xdr:to>
    <xdr:pic>
      <xdr:nvPicPr>
        <xdr:cNvPr id="3" name="图片 2" descr="熊茂"/>
        <xdr:cNvPicPr>
          <a:picLocks noChangeAspect="1"/>
        </xdr:cNvPicPr>
      </xdr:nvPicPr>
      <xdr:blipFill>
        <a:blip r:embed="rId1"/>
        <a:stretch>
          <a:fillRect/>
        </a:stretch>
      </xdr:blipFill>
      <xdr:spPr>
        <a:xfrm>
          <a:off x="1200150" y="9015730"/>
          <a:ext cx="697865" cy="429895"/>
        </a:xfrm>
        <a:prstGeom prst="rect">
          <a:avLst/>
        </a:prstGeom>
      </xdr:spPr>
    </xdr:pic>
    <xdr:clientData/>
  </xdr:twoCellAnchor>
  <xdr:twoCellAnchor editAs="oneCell">
    <xdr:from>
      <xdr:col>3</xdr:col>
      <xdr:colOff>642620</xdr:colOff>
      <xdr:row>22</xdr:row>
      <xdr:rowOff>0</xdr:rowOff>
    </xdr:from>
    <xdr:to>
      <xdr:col>5</xdr:col>
      <xdr:colOff>129540</xdr:colOff>
      <xdr:row>22</xdr:row>
      <xdr:rowOff>490855</xdr:rowOff>
    </xdr:to>
    <xdr:pic>
      <xdr:nvPicPr>
        <xdr:cNvPr id="4" name="图片 3" descr="邓志华"/>
        <xdr:cNvPicPr>
          <a:picLocks noChangeAspect="1"/>
        </xdr:cNvPicPr>
      </xdr:nvPicPr>
      <xdr:blipFill>
        <a:blip r:embed="rId2"/>
        <a:stretch>
          <a:fillRect/>
        </a:stretch>
      </xdr:blipFill>
      <xdr:spPr>
        <a:xfrm>
          <a:off x="3128645" y="8985250"/>
          <a:ext cx="853440" cy="490855"/>
        </a:xfrm>
        <a:prstGeom prst="rect">
          <a:avLst/>
        </a:prstGeom>
      </xdr:spPr>
    </xdr:pic>
    <xdr:clientData/>
  </xdr:twoCellAnchor>
  <xdr:twoCellAnchor editAs="oneCell">
    <xdr:from>
      <xdr:col>6</xdr:col>
      <xdr:colOff>533400</xdr:colOff>
      <xdr:row>22</xdr:row>
      <xdr:rowOff>76200</xdr:rowOff>
    </xdr:from>
    <xdr:to>
      <xdr:col>7</xdr:col>
      <xdr:colOff>286385</xdr:colOff>
      <xdr:row>22</xdr:row>
      <xdr:rowOff>396240</xdr:rowOff>
    </xdr:to>
    <xdr:pic>
      <xdr:nvPicPr>
        <xdr:cNvPr id="5" name="图片 4" descr="吴雪琦"/>
        <xdr:cNvPicPr>
          <a:picLocks noChangeAspect="1"/>
        </xdr:cNvPicPr>
      </xdr:nvPicPr>
      <xdr:blipFill>
        <a:blip r:embed="rId3"/>
        <a:stretch>
          <a:fillRect/>
        </a:stretch>
      </xdr:blipFill>
      <xdr:spPr>
        <a:xfrm>
          <a:off x="5071745" y="9061450"/>
          <a:ext cx="524510" cy="320040"/>
        </a:xfrm>
        <a:prstGeom prst="rect">
          <a:avLst/>
        </a:prstGeom>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85725</xdr:colOff>
      <xdr:row>22</xdr:row>
      <xdr:rowOff>30480</xdr:rowOff>
    </xdr:from>
    <xdr:to>
      <xdr:col>2</xdr:col>
      <xdr:colOff>97155</xdr:colOff>
      <xdr:row>22</xdr:row>
      <xdr:rowOff>459740</xdr:rowOff>
    </xdr:to>
    <xdr:pic>
      <xdr:nvPicPr>
        <xdr:cNvPr id="2" name="图片 1" descr="熊茂"/>
        <xdr:cNvPicPr>
          <a:picLocks noChangeAspect="1"/>
        </xdr:cNvPicPr>
      </xdr:nvPicPr>
      <xdr:blipFill>
        <a:blip r:embed="rId1"/>
        <a:stretch>
          <a:fillRect/>
        </a:stretch>
      </xdr:blipFill>
      <xdr:spPr>
        <a:xfrm>
          <a:off x="1200150" y="9015730"/>
          <a:ext cx="697230" cy="429260"/>
        </a:xfrm>
        <a:prstGeom prst="rect">
          <a:avLst/>
        </a:prstGeom>
      </xdr:spPr>
    </xdr:pic>
    <xdr:clientData/>
  </xdr:twoCellAnchor>
  <xdr:twoCellAnchor editAs="oneCell">
    <xdr:from>
      <xdr:col>3</xdr:col>
      <xdr:colOff>642620</xdr:colOff>
      <xdr:row>22</xdr:row>
      <xdr:rowOff>0</xdr:rowOff>
    </xdr:from>
    <xdr:to>
      <xdr:col>5</xdr:col>
      <xdr:colOff>128905</xdr:colOff>
      <xdr:row>22</xdr:row>
      <xdr:rowOff>490220</xdr:rowOff>
    </xdr:to>
    <xdr:pic>
      <xdr:nvPicPr>
        <xdr:cNvPr id="3" name="图片 2" descr="邓志华"/>
        <xdr:cNvPicPr>
          <a:picLocks noChangeAspect="1"/>
        </xdr:cNvPicPr>
      </xdr:nvPicPr>
      <xdr:blipFill>
        <a:blip r:embed="rId2"/>
        <a:stretch>
          <a:fillRect/>
        </a:stretch>
      </xdr:blipFill>
      <xdr:spPr>
        <a:xfrm>
          <a:off x="3128645" y="8985250"/>
          <a:ext cx="852805" cy="490220"/>
        </a:xfrm>
        <a:prstGeom prst="rect">
          <a:avLst/>
        </a:prstGeom>
      </xdr:spPr>
    </xdr:pic>
    <xdr:clientData/>
  </xdr:twoCellAnchor>
  <xdr:twoCellAnchor editAs="oneCell">
    <xdr:from>
      <xdr:col>6</xdr:col>
      <xdr:colOff>533400</xdr:colOff>
      <xdr:row>22</xdr:row>
      <xdr:rowOff>76200</xdr:rowOff>
    </xdr:from>
    <xdr:to>
      <xdr:col>7</xdr:col>
      <xdr:colOff>285750</xdr:colOff>
      <xdr:row>22</xdr:row>
      <xdr:rowOff>395605</xdr:rowOff>
    </xdr:to>
    <xdr:pic>
      <xdr:nvPicPr>
        <xdr:cNvPr id="4" name="图片 3" descr="吴雪琦"/>
        <xdr:cNvPicPr>
          <a:picLocks noChangeAspect="1"/>
        </xdr:cNvPicPr>
      </xdr:nvPicPr>
      <xdr:blipFill>
        <a:blip r:embed="rId3"/>
        <a:stretch>
          <a:fillRect/>
        </a:stretch>
      </xdr:blipFill>
      <xdr:spPr>
        <a:xfrm>
          <a:off x="5071745" y="9061450"/>
          <a:ext cx="523875" cy="319405"/>
        </a:xfrm>
        <a:prstGeom prst="rect">
          <a:avLst/>
        </a:prstGeom>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85725</xdr:colOff>
      <xdr:row>22</xdr:row>
      <xdr:rowOff>30480</xdr:rowOff>
    </xdr:from>
    <xdr:to>
      <xdr:col>2</xdr:col>
      <xdr:colOff>97155</xdr:colOff>
      <xdr:row>22</xdr:row>
      <xdr:rowOff>459740</xdr:rowOff>
    </xdr:to>
    <xdr:pic>
      <xdr:nvPicPr>
        <xdr:cNvPr id="2" name="图片 1" descr="熊茂"/>
        <xdr:cNvPicPr>
          <a:picLocks noChangeAspect="1"/>
        </xdr:cNvPicPr>
      </xdr:nvPicPr>
      <xdr:blipFill>
        <a:blip r:embed="rId1"/>
        <a:stretch>
          <a:fillRect/>
        </a:stretch>
      </xdr:blipFill>
      <xdr:spPr>
        <a:xfrm>
          <a:off x="1200150" y="9015730"/>
          <a:ext cx="697230" cy="429260"/>
        </a:xfrm>
        <a:prstGeom prst="rect">
          <a:avLst/>
        </a:prstGeom>
      </xdr:spPr>
    </xdr:pic>
    <xdr:clientData/>
  </xdr:twoCellAnchor>
  <xdr:twoCellAnchor editAs="oneCell">
    <xdr:from>
      <xdr:col>3</xdr:col>
      <xdr:colOff>642620</xdr:colOff>
      <xdr:row>22</xdr:row>
      <xdr:rowOff>0</xdr:rowOff>
    </xdr:from>
    <xdr:to>
      <xdr:col>5</xdr:col>
      <xdr:colOff>128905</xdr:colOff>
      <xdr:row>22</xdr:row>
      <xdr:rowOff>490220</xdr:rowOff>
    </xdr:to>
    <xdr:pic>
      <xdr:nvPicPr>
        <xdr:cNvPr id="3" name="图片 2" descr="邓志华"/>
        <xdr:cNvPicPr>
          <a:picLocks noChangeAspect="1"/>
        </xdr:cNvPicPr>
      </xdr:nvPicPr>
      <xdr:blipFill>
        <a:blip r:embed="rId2"/>
        <a:stretch>
          <a:fillRect/>
        </a:stretch>
      </xdr:blipFill>
      <xdr:spPr>
        <a:xfrm>
          <a:off x="3128645" y="8985250"/>
          <a:ext cx="852805" cy="490220"/>
        </a:xfrm>
        <a:prstGeom prst="rect">
          <a:avLst/>
        </a:prstGeom>
      </xdr:spPr>
    </xdr:pic>
    <xdr:clientData/>
  </xdr:twoCellAnchor>
  <xdr:twoCellAnchor editAs="oneCell">
    <xdr:from>
      <xdr:col>6</xdr:col>
      <xdr:colOff>533400</xdr:colOff>
      <xdr:row>22</xdr:row>
      <xdr:rowOff>76200</xdr:rowOff>
    </xdr:from>
    <xdr:to>
      <xdr:col>7</xdr:col>
      <xdr:colOff>285750</xdr:colOff>
      <xdr:row>22</xdr:row>
      <xdr:rowOff>395605</xdr:rowOff>
    </xdr:to>
    <xdr:pic>
      <xdr:nvPicPr>
        <xdr:cNvPr id="4" name="图片 3" descr="吴雪琦"/>
        <xdr:cNvPicPr>
          <a:picLocks noChangeAspect="1"/>
        </xdr:cNvPicPr>
      </xdr:nvPicPr>
      <xdr:blipFill>
        <a:blip r:embed="rId3"/>
        <a:stretch>
          <a:fillRect/>
        </a:stretch>
      </xdr:blipFill>
      <xdr:spPr>
        <a:xfrm>
          <a:off x="5071745" y="9061450"/>
          <a:ext cx="523875" cy="319405"/>
        </a:xfrm>
        <a:prstGeom prst="rect">
          <a:avLst/>
        </a:prstGeom>
      </xdr:spPr>
    </xdr:pic>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85725</xdr:colOff>
      <xdr:row>22</xdr:row>
      <xdr:rowOff>30480</xdr:rowOff>
    </xdr:from>
    <xdr:to>
      <xdr:col>2</xdr:col>
      <xdr:colOff>97155</xdr:colOff>
      <xdr:row>22</xdr:row>
      <xdr:rowOff>459740</xdr:rowOff>
    </xdr:to>
    <xdr:pic>
      <xdr:nvPicPr>
        <xdr:cNvPr id="2" name="图片 1" descr="熊茂"/>
        <xdr:cNvPicPr>
          <a:picLocks noChangeAspect="1"/>
        </xdr:cNvPicPr>
      </xdr:nvPicPr>
      <xdr:blipFill>
        <a:blip r:embed="rId1"/>
        <a:stretch>
          <a:fillRect/>
        </a:stretch>
      </xdr:blipFill>
      <xdr:spPr>
        <a:xfrm>
          <a:off x="1200150" y="9015730"/>
          <a:ext cx="697230" cy="429260"/>
        </a:xfrm>
        <a:prstGeom prst="rect">
          <a:avLst/>
        </a:prstGeom>
      </xdr:spPr>
    </xdr:pic>
    <xdr:clientData/>
  </xdr:twoCellAnchor>
  <xdr:twoCellAnchor editAs="oneCell">
    <xdr:from>
      <xdr:col>3</xdr:col>
      <xdr:colOff>642620</xdr:colOff>
      <xdr:row>22</xdr:row>
      <xdr:rowOff>0</xdr:rowOff>
    </xdr:from>
    <xdr:to>
      <xdr:col>5</xdr:col>
      <xdr:colOff>128905</xdr:colOff>
      <xdr:row>22</xdr:row>
      <xdr:rowOff>490220</xdr:rowOff>
    </xdr:to>
    <xdr:pic>
      <xdr:nvPicPr>
        <xdr:cNvPr id="3" name="图片 2" descr="邓志华"/>
        <xdr:cNvPicPr>
          <a:picLocks noChangeAspect="1"/>
        </xdr:cNvPicPr>
      </xdr:nvPicPr>
      <xdr:blipFill>
        <a:blip r:embed="rId2"/>
        <a:stretch>
          <a:fillRect/>
        </a:stretch>
      </xdr:blipFill>
      <xdr:spPr>
        <a:xfrm>
          <a:off x="3128645" y="8985250"/>
          <a:ext cx="852805" cy="490220"/>
        </a:xfrm>
        <a:prstGeom prst="rect">
          <a:avLst/>
        </a:prstGeom>
      </xdr:spPr>
    </xdr:pic>
    <xdr:clientData/>
  </xdr:twoCellAnchor>
  <xdr:twoCellAnchor editAs="oneCell">
    <xdr:from>
      <xdr:col>6</xdr:col>
      <xdr:colOff>533400</xdr:colOff>
      <xdr:row>22</xdr:row>
      <xdr:rowOff>76200</xdr:rowOff>
    </xdr:from>
    <xdr:to>
      <xdr:col>7</xdr:col>
      <xdr:colOff>285750</xdr:colOff>
      <xdr:row>22</xdr:row>
      <xdr:rowOff>395605</xdr:rowOff>
    </xdr:to>
    <xdr:pic>
      <xdr:nvPicPr>
        <xdr:cNvPr id="4" name="图片 3" descr="吴雪琦"/>
        <xdr:cNvPicPr>
          <a:picLocks noChangeAspect="1"/>
        </xdr:cNvPicPr>
      </xdr:nvPicPr>
      <xdr:blipFill>
        <a:blip r:embed="rId3"/>
        <a:stretch>
          <a:fillRect/>
        </a:stretch>
      </xdr:blipFill>
      <xdr:spPr>
        <a:xfrm>
          <a:off x="5071745" y="9061450"/>
          <a:ext cx="523875" cy="319405"/>
        </a:xfrm>
        <a:prstGeom prst="rect">
          <a:avLst/>
        </a:prstGeom>
      </xdr:spPr>
    </xdr:pic>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85725</xdr:colOff>
      <xdr:row>22</xdr:row>
      <xdr:rowOff>30480</xdr:rowOff>
    </xdr:from>
    <xdr:to>
      <xdr:col>2</xdr:col>
      <xdr:colOff>97155</xdr:colOff>
      <xdr:row>22</xdr:row>
      <xdr:rowOff>459740</xdr:rowOff>
    </xdr:to>
    <xdr:pic>
      <xdr:nvPicPr>
        <xdr:cNvPr id="2" name="图片 1" descr="熊茂"/>
        <xdr:cNvPicPr>
          <a:picLocks noChangeAspect="1"/>
        </xdr:cNvPicPr>
      </xdr:nvPicPr>
      <xdr:blipFill>
        <a:blip r:embed="rId1"/>
        <a:stretch>
          <a:fillRect/>
        </a:stretch>
      </xdr:blipFill>
      <xdr:spPr>
        <a:xfrm>
          <a:off x="1200150" y="9015730"/>
          <a:ext cx="697230" cy="429260"/>
        </a:xfrm>
        <a:prstGeom prst="rect">
          <a:avLst/>
        </a:prstGeom>
      </xdr:spPr>
    </xdr:pic>
    <xdr:clientData/>
  </xdr:twoCellAnchor>
  <xdr:twoCellAnchor editAs="oneCell">
    <xdr:from>
      <xdr:col>3</xdr:col>
      <xdr:colOff>642620</xdr:colOff>
      <xdr:row>22</xdr:row>
      <xdr:rowOff>0</xdr:rowOff>
    </xdr:from>
    <xdr:to>
      <xdr:col>5</xdr:col>
      <xdr:colOff>128905</xdr:colOff>
      <xdr:row>22</xdr:row>
      <xdr:rowOff>490220</xdr:rowOff>
    </xdr:to>
    <xdr:pic>
      <xdr:nvPicPr>
        <xdr:cNvPr id="3" name="图片 2" descr="邓志华"/>
        <xdr:cNvPicPr>
          <a:picLocks noChangeAspect="1"/>
        </xdr:cNvPicPr>
      </xdr:nvPicPr>
      <xdr:blipFill>
        <a:blip r:embed="rId2"/>
        <a:stretch>
          <a:fillRect/>
        </a:stretch>
      </xdr:blipFill>
      <xdr:spPr>
        <a:xfrm>
          <a:off x="3128645" y="8985250"/>
          <a:ext cx="852805" cy="490220"/>
        </a:xfrm>
        <a:prstGeom prst="rect">
          <a:avLst/>
        </a:prstGeom>
      </xdr:spPr>
    </xdr:pic>
    <xdr:clientData/>
  </xdr:twoCellAnchor>
  <xdr:twoCellAnchor editAs="oneCell">
    <xdr:from>
      <xdr:col>6</xdr:col>
      <xdr:colOff>533400</xdr:colOff>
      <xdr:row>22</xdr:row>
      <xdr:rowOff>76200</xdr:rowOff>
    </xdr:from>
    <xdr:to>
      <xdr:col>7</xdr:col>
      <xdr:colOff>285750</xdr:colOff>
      <xdr:row>22</xdr:row>
      <xdr:rowOff>395605</xdr:rowOff>
    </xdr:to>
    <xdr:pic>
      <xdr:nvPicPr>
        <xdr:cNvPr id="4" name="图片 3" descr="吴雪琦"/>
        <xdr:cNvPicPr>
          <a:picLocks noChangeAspect="1"/>
        </xdr:cNvPicPr>
      </xdr:nvPicPr>
      <xdr:blipFill>
        <a:blip r:embed="rId3"/>
        <a:stretch>
          <a:fillRect/>
        </a:stretch>
      </xdr:blipFill>
      <xdr:spPr>
        <a:xfrm>
          <a:off x="5071745" y="9061450"/>
          <a:ext cx="523875" cy="31940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36130;&#21153;&#31649;&#29702;\&#25910;&#25903;&#26126;&#32454;&#349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25215;&#25509;&#19994;&#21153;\&#19994;&#21153;&#30331;&#35760;&#34920;&#65288;&#26032;&#65289;.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9" Type="http://schemas.openxmlformats.org/officeDocument/2006/relationships/control" Target="../activeX/activeX4.xml"/><Relationship Id="rId8" Type="http://schemas.openxmlformats.org/officeDocument/2006/relationships/image" Target="../media/image3.wmf"/><Relationship Id="rId7" Type="http://schemas.openxmlformats.org/officeDocument/2006/relationships/control" Target="../activeX/activeX3.xml"/><Relationship Id="rId6" Type="http://schemas.openxmlformats.org/officeDocument/2006/relationships/image" Target="../media/image2.wmf"/><Relationship Id="rId5" Type="http://schemas.openxmlformats.org/officeDocument/2006/relationships/control" Target="../activeX/activeX2.xml"/><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2" Type="http://schemas.openxmlformats.org/officeDocument/2006/relationships/image" Target="../media/image5.wmf"/><Relationship Id="rId11" Type="http://schemas.openxmlformats.org/officeDocument/2006/relationships/control" Target="../activeX/activeX5.xml"/><Relationship Id="rId10" Type="http://schemas.openxmlformats.org/officeDocument/2006/relationships/image" Target="../media/image4.wmf"/><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K1000"/>
  <sheetViews>
    <sheetView workbookViewId="0">
      <selection activeCell="A12" sqref="A12:B12"/>
    </sheetView>
  </sheetViews>
  <sheetFormatPr defaultColWidth="9" defaultRowHeight="13.5"/>
  <cols>
    <col min="1" max="1" width="9" style="45"/>
    <col min="2" max="2" width="32.375" style="45" customWidth="1"/>
    <col min="3" max="5" width="15.375" style="45" customWidth="1"/>
    <col min="6" max="6" width="9" style="45"/>
    <col min="7" max="7" width="14.5" style="45" customWidth="1"/>
    <col min="8" max="8" width="9" style="45"/>
    <col min="9" max="9" width="12.5" style="45" customWidth="1"/>
    <col min="10" max="10" width="21.125" style="45" customWidth="1"/>
    <col min="11" max="16384" width="9" style="45"/>
  </cols>
  <sheetData>
    <row r="1" ht="23" customHeight="1" spans="1:11">
      <c r="A1" s="83" t="s">
        <v>0</v>
      </c>
      <c r="B1" s="83"/>
      <c r="C1" s="83"/>
      <c r="D1" s="83"/>
      <c r="E1" s="83"/>
      <c r="F1" s="83"/>
      <c r="G1" s="83"/>
      <c r="H1" s="83"/>
      <c r="I1" s="83"/>
      <c r="J1" s="83"/>
      <c r="K1" s="83"/>
    </row>
    <row r="2" spans="1:11">
      <c r="A2" s="54" t="s">
        <v>1</v>
      </c>
      <c r="B2" s="54" t="s">
        <v>2</v>
      </c>
      <c r="C2" s="54" t="s">
        <v>3</v>
      </c>
      <c r="D2" s="54" t="s">
        <v>4</v>
      </c>
      <c r="E2" s="54" t="s">
        <v>5</v>
      </c>
      <c r="F2" s="54" t="s">
        <v>6</v>
      </c>
      <c r="G2" s="54" t="s">
        <v>7</v>
      </c>
      <c r="H2" s="54" t="s">
        <v>8</v>
      </c>
      <c r="I2" s="54" t="s">
        <v>9</v>
      </c>
      <c r="J2" s="54" t="s">
        <v>10</v>
      </c>
      <c r="K2" s="54" t="s">
        <v>11</v>
      </c>
    </row>
    <row r="3" ht="27" spans="1:11">
      <c r="A3" s="54" t="s">
        <v>12</v>
      </c>
      <c r="B3" s="54" t="s">
        <v>13</v>
      </c>
      <c r="C3" s="54" t="s">
        <v>14</v>
      </c>
      <c r="D3" s="54" t="s">
        <v>14</v>
      </c>
      <c r="E3" s="54" t="s">
        <v>15</v>
      </c>
      <c r="F3" s="90" t="s">
        <v>16</v>
      </c>
      <c r="G3" s="54">
        <v>18228131927</v>
      </c>
      <c r="H3" s="54" t="s">
        <v>17</v>
      </c>
      <c r="I3" s="54">
        <v>17323288028</v>
      </c>
      <c r="J3" s="54" t="str">
        <f t="shared" ref="J3:J10" si="0">IF(F3&lt;&gt;"——","有见证取样送检","委托送样检测")</f>
        <v>有见证取样送检</v>
      </c>
      <c r="K3" s="54"/>
    </row>
    <row r="4" ht="27" spans="1:11">
      <c r="A4" s="54" t="s">
        <v>18</v>
      </c>
      <c r="B4" s="54" t="s">
        <v>19</v>
      </c>
      <c r="C4" s="54" t="s">
        <v>14</v>
      </c>
      <c r="D4" s="54" t="s">
        <v>14</v>
      </c>
      <c r="E4" s="91" t="s">
        <v>20</v>
      </c>
      <c r="F4" s="91" t="s">
        <v>21</v>
      </c>
      <c r="G4" s="91">
        <v>15884546766</v>
      </c>
      <c r="H4" s="91" t="s">
        <v>22</v>
      </c>
      <c r="I4" s="91">
        <v>18128131927</v>
      </c>
      <c r="J4" s="54" t="str">
        <f t="shared" si="0"/>
        <v>有见证取样送检</v>
      </c>
      <c r="K4" s="54"/>
    </row>
    <row r="5" ht="27" spans="1:11">
      <c r="A5" s="54" t="s">
        <v>23</v>
      </c>
      <c r="B5" s="91" t="s">
        <v>24</v>
      </c>
      <c r="C5" s="54" t="s">
        <v>14</v>
      </c>
      <c r="D5" s="54" t="s">
        <v>14</v>
      </c>
      <c r="E5" s="91" t="s">
        <v>20</v>
      </c>
      <c r="F5" s="91" t="s">
        <v>21</v>
      </c>
      <c r="G5" s="91">
        <v>15884546766</v>
      </c>
      <c r="H5" s="91" t="s">
        <v>22</v>
      </c>
      <c r="I5" s="91">
        <v>18128131927</v>
      </c>
      <c r="J5" s="54" t="str">
        <f t="shared" si="0"/>
        <v>有见证取样送检</v>
      </c>
      <c r="K5" s="54"/>
    </row>
    <row r="6" ht="27" spans="1:11">
      <c r="A6" s="54" t="s">
        <v>25</v>
      </c>
      <c r="B6" s="91" t="s">
        <v>26</v>
      </c>
      <c r="C6" s="54" t="s">
        <v>14</v>
      </c>
      <c r="D6" s="54" t="s">
        <v>14</v>
      </c>
      <c r="E6" s="91" t="s">
        <v>20</v>
      </c>
      <c r="F6" s="91" t="s">
        <v>21</v>
      </c>
      <c r="G6" s="91">
        <v>15884546766</v>
      </c>
      <c r="H6" s="91" t="s">
        <v>22</v>
      </c>
      <c r="I6" s="91">
        <v>18128131927</v>
      </c>
      <c r="J6" s="54" t="str">
        <f t="shared" si="0"/>
        <v>有见证取样送检</v>
      </c>
      <c r="K6" s="54"/>
    </row>
    <row r="7" ht="27" spans="1:11">
      <c r="A7" s="54" t="s">
        <v>27</v>
      </c>
      <c r="B7" s="91" t="s">
        <v>28</v>
      </c>
      <c r="C7" s="54" t="s">
        <v>14</v>
      </c>
      <c r="D7" s="54" t="s">
        <v>14</v>
      </c>
      <c r="E7" s="91" t="s">
        <v>20</v>
      </c>
      <c r="F7" s="91" t="s">
        <v>21</v>
      </c>
      <c r="G7" s="91">
        <v>15884546766</v>
      </c>
      <c r="H7" s="91" t="s">
        <v>22</v>
      </c>
      <c r="I7" s="91">
        <v>18128131927</v>
      </c>
      <c r="J7" s="54" t="str">
        <f t="shared" si="0"/>
        <v>有见证取样送检</v>
      </c>
      <c r="K7" s="54"/>
    </row>
    <row r="8" ht="96.75" spans="1:11">
      <c r="A8" s="54" t="s">
        <v>29</v>
      </c>
      <c r="B8" s="85" t="s">
        <v>30</v>
      </c>
      <c r="C8" s="54" t="s">
        <v>14</v>
      </c>
      <c r="D8" s="54" t="s">
        <v>14</v>
      </c>
      <c r="E8" s="91" t="s">
        <v>20</v>
      </c>
      <c r="F8" s="91" t="s">
        <v>21</v>
      </c>
      <c r="G8" s="91">
        <v>15884546766</v>
      </c>
      <c r="H8" s="91" t="s">
        <v>22</v>
      </c>
      <c r="I8" s="91">
        <v>18128131927</v>
      </c>
      <c r="J8" s="54" t="str">
        <f t="shared" si="0"/>
        <v>有见证取样送检</v>
      </c>
      <c r="K8" s="54"/>
    </row>
    <row r="9" spans="1:11">
      <c r="A9" s="54" t="s">
        <v>31</v>
      </c>
      <c r="B9" s="45" t="s">
        <v>32</v>
      </c>
      <c r="C9" s="45" t="s">
        <v>33</v>
      </c>
      <c r="D9" s="45" t="s">
        <v>33</v>
      </c>
      <c r="E9" s="45" t="s">
        <v>34</v>
      </c>
      <c r="F9" s="45" t="s">
        <v>35</v>
      </c>
      <c r="G9" s="45">
        <v>15288669020</v>
      </c>
      <c r="H9" s="45" t="s">
        <v>36</v>
      </c>
      <c r="I9" s="94">
        <v>18182238027</v>
      </c>
      <c r="J9" s="54" t="str">
        <f t="shared" si="0"/>
        <v>有见证取样送检</v>
      </c>
      <c r="K9" s="54"/>
    </row>
    <row r="10" ht="27" spans="1:11">
      <c r="A10" s="54" t="s">
        <v>37</v>
      </c>
      <c r="B10" s="85" t="s">
        <v>38</v>
      </c>
      <c r="C10" s="54" t="s">
        <v>39</v>
      </c>
      <c r="D10" s="54" t="s">
        <v>39</v>
      </c>
      <c r="E10" s="54" t="s">
        <v>40</v>
      </c>
      <c r="F10" s="54" t="s">
        <v>41</v>
      </c>
      <c r="G10" s="54">
        <v>18608243803</v>
      </c>
      <c r="H10" s="54" t="s">
        <v>42</v>
      </c>
      <c r="I10" s="54">
        <v>15884240073</v>
      </c>
      <c r="J10" s="54" t="str">
        <f t="shared" si="0"/>
        <v>有见证取样送检</v>
      </c>
      <c r="K10"/>
    </row>
    <row r="11" ht="27" spans="1:11">
      <c r="A11" s="54" t="s">
        <v>43</v>
      </c>
      <c r="B11" s="92" t="s">
        <v>44</v>
      </c>
      <c r="C11" s="92" t="s">
        <v>45</v>
      </c>
      <c r="D11" s="92" t="s">
        <v>45</v>
      </c>
      <c r="E11" s="92" t="s">
        <v>46</v>
      </c>
      <c r="F11" s="92" t="s">
        <v>46</v>
      </c>
      <c r="G11" s="92" t="s">
        <v>46</v>
      </c>
      <c r="H11" s="54" t="s">
        <v>47</v>
      </c>
      <c r="I11" s="92">
        <v>13890951229</v>
      </c>
      <c r="J11" s="54" t="s">
        <v>48</v>
      </c>
      <c r="K11"/>
    </row>
    <row r="12" spans="1:11">
      <c r="A12" s="54" t="s">
        <v>49</v>
      </c>
      <c r="B12" t="s">
        <v>50</v>
      </c>
      <c r="C12" t="s">
        <v>51</v>
      </c>
      <c r="D12" t="s">
        <v>51</v>
      </c>
      <c r="E12" s="92" t="s">
        <v>46</v>
      </c>
      <c r="F12" s="92" t="s">
        <v>46</v>
      </c>
      <c r="G12" s="92" t="s">
        <v>46</v>
      </c>
      <c r="H12" s="93" t="s">
        <v>52</v>
      </c>
      <c r="I12"/>
      <c r="J12" s="54" t="s">
        <v>48</v>
      </c>
      <c r="K12"/>
    </row>
    <row r="13" spans="1:11">
      <c r="A13"/>
      <c r="B13"/>
      <c r="C13"/>
      <c r="D13"/>
      <c r="E13"/>
      <c r="F13"/>
      <c r="G13"/>
      <c r="H13"/>
      <c r="I13"/>
      <c r="J13"/>
      <c r="K13"/>
    </row>
    <row r="14" spans="1:11">
      <c r="A14"/>
      <c r="B14"/>
      <c r="C14"/>
      <c r="D14"/>
      <c r="E14"/>
      <c r="F14"/>
      <c r="G14"/>
      <c r="H14"/>
      <c r="I14"/>
      <c r="J14"/>
      <c r="K14"/>
    </row>
    <row r="15" spans="1:11">
      <c r="A15"/>
      <c r="B15"/>
      <c r="C15"/>
      <c r="D15"/>
      <c r="E15"/>
      <c r="F15"/>
      <c r="G15"/>
      <c r="H15"/>
      <c r="I15"/>
      <c r="J15"/>
      <c r="K15"/>
    </row>
    <row r="16" spans="1:11">
      <c r="A16"/>
      <c r="B16"/>
      <c r="C16"/>
      <c r="D16"/>
      <c r="E16"/>
      <c r="F16"/>
      <c r="G16"/>
      <c r="H16"/>
      <c r="I16"/>
      <c r="J16"/>
      <c r="K16"/>
    </row>
    <row r="17" spans="1:11">
      <c r="A17"/>
      <c r="B17"/>
      <c r="C17"/>
      <c r="D17"/>
      <c r="E17"/>
      <c r="F17"/>
      <c r="G17"/>
      <c r="H17"/>
      <c r="I17"/>
      <c r="J17"/>
      <c r="K17"/>
    </row>
    <row r="18" spans="1:11">
      <c r="A18"/>
      <c r="B18"/>
      <c r="C18"/>
      <c r="D18"/>
      <c r="E18"/>
      <c r="F18"/>
      <c r="G18"/>
      <c r="H18"/>
      <c r="I18"/>
      <c r="J18"/>
      <c r="K18"/>
    </row>
    <row r="19" spans="1:11">
      <c r="A19"/>
      <c r="B19"/>
      <c r="C19"/>
      <c r="D19"/>
      <c r="E19"/>
      <c r="F19"/>
      <c r="G19"/>
      <c r="H19"/>
      <c r="I19"/>
      <c r="J19"/>
      <c r="K19"/>
    </row>
    <row r="20" spans="1:11">
      <c r="A20"/>
      <c r="B20"/>
      <c r="C20"/>
      <c r="D20"/>
      <c r="E20"/>
      <c r="F20"/>
      <c r="G20"/>
      <c r="H20"/>
      <c r="I20"/>
      <c r="J20"/>
      <c r="K20"/>
    </row>
    <row r="21" spans="1:11">
      <c r="A21"/>
      <c r="B21"/>
      <c r="C21"/>
      <c r="D21"/>
      <c r="E21"/>
      <c r="F21"/>
      <c r="G21"/>
      <c r="H21"/>
      <c r="I21"/>
      <c r="J21"/>
      <c r="K21"/>
    </row>
    <row r="22" spans="1:11">
      <c r="A22"/>
      <c r="B22"/>
      <c r="C22"/>
      <c r="D22"/>
      <c r="E22"/>
      <c r="F22"/>
      <c r="G22"/>
      <c r="H22"/>
      <c r="I22"/>
      <c r="J22"/>
      <c r="K22"/>
    </row>
    <row r="23" spans="1:11">
      <c r="A23"/>
      <c r="B23"/>
      <c r="C23"/>
      <c r="D23"/>
      <c r="E23"/>
      <c r="F23"/>
      <c r="G23"/>
      <c r="H23"/>
      <c r="I23"/>
      <c r="J23"/>
      <c r="K23"/>
    </row>
    <row r="24" spans="1:11">
      <c r="A24"/>
      <c r="B24"/>
      <c r="C24"/>
      <c r="D24"/>
      <c r="E24"/>
      <c r="F24"/>
      <c r="G24"/>
      <c r="H24"/>
      <c r="I24"/>
      <c r="J24"/>
      <c r="K24"/>
    </row>
    <row r="25" spans="1:11">
      <c r="A25"/>
      <c r="B25"/>
      <c r="C25"/>
      <c r="D25"/>
      <c r="E25"/>
      <c r="F25"/>
      <c r="G25"/>
      <c r="H25"/>
      <c r="I25"/>
      <c r="J25"/>
      <c r="K25"/>
    </row>
    <row r="26" spans="1:11">
      <c r="A26"/>
      <c r="B26"/>
      <c r="C26"/>
      <c r="D26"/>
      <c r="E26"/>
      <c r="F26"/>
      <c r="G26"/>
      <c r="H26"/>
      <c r="I26"/>
      <c r="J26"/>
      <c r="K26"/>
    </row>
    <row r="27" spans="1:11">
      <c r="A27"/>
      <c r="B27"/>
      <c r="C27"/>
      <c r="D27"/>
      <c r="E27"/>
      <c r="F27"/>
      <c r="G27"/>
      <c r="H27"/>
      <c r="I27"/>
      <c r="J27"/>
      <c r="K27"/>
    </row>
    <row r="28" spans="1:11">
      <c r="A28"/>
      <c r="B28"/>
      <c r="C28"/>
      <c r="D28"/>
      <c r="E28"/>
      <c r="F28"/>
      <c r="G28"/>
      <c r="H28"/>
      <c r="I28"/>
      <c r="J28"/>
      <c r="K28"/>
    </row>
    <row r="29" spans="1:11">
      <c r="A29"/>
      <c r="B29"/>
      <c r="C29"/>
      <c r="D29"/>
      <c r="E29"/>
      <c r="F29"/>
      <c r="G29"/>
      <c r="H29"/>
      <c r="I29"/>
      <c r="J29"/>
      <c r="K29"/>
    </row>
    <row r="30" spans="1:11">
      <c r="A30"/>
      <c r="B30"/>
      <c r="C30"/>
      <c r="D30"/>
      <c r="E30"/>
      <c r="F30"/>
      <c r="G30"/>
      <c r="H30"/>
      <c r="I30"/>
      <c r="J30"/>
      <c r="K30"/>
    </row>
    <row r="31" spans="1:11">
      <c r="A31"/>
      <c r="B31"/>
      <c r="C31"/>
      <c r="D31"/>
      <c r="E31"/>
      <c r="F31"/>
      <c r="G31"/>
      <c r="H31"/>
      <c r="I31"/>
      <c r="J31"/>
      <c r="K31"/>
    </row>
    <row r="32" spans="1:11">
      <c r="A32"/>
      <c r="B32"/>
      <c r="C32"/>
      <c r="D32"/>
      <c r="E32"/>
      <c r="F32"/>
      <c r="G32"/>
      <c r="H32"/>
      <c r="I32"/>
      <c r="J32"/>
      <c r="K32"/>
    </row>
    <row r="33" spans="1:11">
      <c r="A33"/>
      <c r="B33"/>
      <c r="C33"/>
      <c r="D33"/>
      <c r="E33"/>
      <c r="F33"/>
      <c r="G33"/>
      <c r="H33"/>
      <c r="I33"/>
      <c r="J33"/>
      <c r="K33"/>
    </row>
    <row r="34" spans="1:11">
      <c r="A34"/>
      <c r="B34"/>
      <c r="C34"/>
      <c r="D34"/>
      <c r="E34"/>
      <c r="F34"/>
      <c r="G34"/>
      <c r="H34"/>
      <c r="I34"/>
      <c r="J34"/>
      <c r="K34"/>
    </row>
    <row r="35" spans="1:11">
      <c r="A35"/>
      <c r="B35"/>
      <c r="C35"/>
      <c r="D35"/>
      <c r="E35"/>
      <c r="F35"/>
      <c r="G35"/>
      <c r="H35"/>
      <c r="I35"/>
      <c r="J35"/>
      <c r="K35"/>
    </row>
    <row r="36" spans="1:11">
      <c r="A36"/>
      <c r="B36"/>
      <c r="C36"/>
      <c r="D36"/>
      <c r="E36"/>
      <c r="F36"/>
      <c r="G36"/>
      <c r="H36"/>
      <c r="I36"/>
      <c r="J36"/>
      <c r="K36"/>
    </row>
    <row r="37" spans="1:11">
      <c r="A37"/>
      <c r="B37"/>
      <c r="C37"/>
      <c r="D37"/>
      <c r="E37"/>
      <c r="F37"/>
      <c r="G37"/>
      <c r="H37"/>
      <c r="I37"/>
      <c r="J37"/>
      <c r="K37"/>
    </row>
    <row r="38" spans="1:11">
      <c r="A38"/>
      <c r="B38"/>
      <c r="C38"/>
      <c r="D38"/>
      <c r="E38"/>
      <c r="F38"/>
      <c r="G38"/>
      <c r="H38"/>
      <c r="I38"/>
      <c r="J38"/>
      <c r="K38"/>
    </row>
    <row r="39" spans="1:11">
      <c r="A39"/>
      <c r="B39"/>
      <c r="C39"/>
      <c r="D39"/>
      <c r="E39"/>
      <c r="F39"/>
      <c r="G39"/>
      <c r="H39"/>
      <c r="I39"/>
      <c r="J39"/>
      <c r="K39"/>
    </row>
    <row r="40" spans="1:11">
      <c r="A40"/>
      <c r="B40"/>
      <c r="C40"/>
      <c r="D40"/>
      <c r="E40"/>
      <c r="F40"/>
      <c r="G40"/>
      <c r="H40"/>
      <c r="I40"/>
      <c r="J40"/>
      <c r="K40"/>
    </row>
    <row r="41" spans="1:11">
      <c r="A41"/>
      <c r="B41"/>
      <c r="C41"/>
      <c r="D41"/>
      <c r="E41"/>
      <c r="F41"/>
      <c r="G41"/>
      <c r="H41"/>
      <c r="I41"/>
      <c r="J41"/>
      <c r="K41"/>
    </row>
    <row r="42" spans="1:11">
      <c r="A42"/>
      <c r="B42"/>
      <c r="C42"/>
      <c r="D42"/>
      <c r="E42"/>
      <c r="F42"/>
      <c r="G42"/>
      <c r="H42"/>
      <c r="I42"/>
      <c r="J42"/>
      <c r="K42"/>
    </row>
    <row r="43" spans="1:11">
      <c r="A43"/>
      <c r="B43"/>
      <c r="C43"/>
      <c r="D43"/>
      <c r="E43"/>
      <c r="F43"/>
      <c r="G43"/>
      <c r="H43"/>
      <c r="I43"/>
      <c r="J43"/>
      <c r="K43"/>
    </row>
    <row r="44" spans="1:11">
      <c r="A44"/>
      <c r="B44"/>
      <c r="C44"/>
      <c r="D44"/>
      <c r="E44"/>
      <c r="F44"/>
      <c r="G44"/>
      <c r="H44"/>
      <c r="I44"/>
      <c r="J44"/>
      <c r="K44"/>
    </row>
    <row r="45" spans="1:11">
      <c r="A45"/>
      <c r="B45"/>
      <c r="C45"/>
      <c r="D45"/>
      <c r="E45"/>
      <c r="F45"/>
      <c r="G45"/>
      <c r="H45"/>
      <c r="I45"/>
      <c r="J45"/>
      <c r="K45"/>
    </row>
    <row r="46" spans="1:11">
      <c r="A46"/>
      <c r="B46"/>
      <c r="C46"/>
      <c r="D46"/>
      <c r="E46"/>
      <c r="F46"/>
      <c r="G46"/>
      <c r="H46"/>
      <c r="I46"/>
      <c r="J46"/>
      <c r="K46"/>
    </row>
    <row r="47" spans="1:11">
      <c r="A47"/>
      <c r="B47"/>
      <c r="C47"/>
      <c r="D47"/>
      <c r="E47"/>
      <c r="F47"/>
      <c r="G47"/>
      <c r="H47"/>
      <c r="I47"/>
      <c r="J47"/>
      <c r="K47"/>
    </row>
    <row r="48" spans="1:11">
      <c r="A48"/>
      <c r="B48"/>
      <c r="C48"/>
      <c r="D48"/>
      <c r="E48"/>
      <c r="F48"/>
      <c r="G48"/>
      <c r="H48"/>
      <c r="I48"/>
      <c r="J48"/>
      <c r="K48"/>
    </row>
    <row r="49" spans="1:11">
      <c r="A49"/>
      <c r="B49"/>
      <c r="C49"/>
      <c r="D49"/>
      <c r="E49"/>
      <c r="F49"/>
      <c r="G49"/>
      <c r="H49"/>
      <c r="I49"/>
      <c r="J49"/>
      <c r="K49"/>
    </row>
    <row r="50" spans="1:11">
      <c r="A50"/>
      <c r="B50"/>
      <c r="C50"/>
      <c r="D50"/>
      <c r="E50"/>
      <c r="F50"/>
      <c r="G50"/>
      <c r="H50"/>
      <c r="I50"/>
      <c r="J50"/>
      <c r="K50"/>
    </row>
    <row r="51" spans="1:11">
      <c r="A51"/>
      <c r="B51"/>
      <c r="C51"/>
      <c r="D51"/>
      <c r="E51"/>
      <c r="F51"/>
      <c r="G51"/>
      <c r="H51"/>
      <c r="I51"/>
      <c r="J51"/>
      <c r="K51"/>
    </row>
    <row r="52" spans="1:11">
      <c r="A52"/>
      <c r="B52"/>
      <c r="C52"/>
      <c r="D52"/>
      <c r="E52"/>
      <c r="F52"/>
      <c r="G52"/>
      <c r="H52"/>
      <c r="I52"/>
      <c r="J52"/>
      <c r="K52"/>
    </row>
    <row r="53" spans="1:11">
      <c r="A53"/>
      <c r="B53"/>
      <c r="C53"/>
      <c r="D53"/>
      <c r="E53"/>
      <c r="F53"/>
      <c r="G53"/>
      <c r="H53"/>
      <c r="I53"/>
      <c r="J53"/>
      <c r="K53"/>
    </row>
    <row r="54" spans="1:11">
      <c r="A54"/>
      <c r="B54"/>
      <c r="C54"/>
      <c r="D54"/>
      <c r="E54"/>
      <c r="F54"/>
      <c r="G54"/>
      <c r="H54"/>
      <c r="I54"/>
      <c r="J54"/>
      <c r="K54"/>
    </row>
    <row r="55" spans="1:11">
      <c r="A55"/>
      <c r="B55"/>
      <c r="C55"/>
      <c r="D55"/>
      <c r="E55"/>
      <c r="F55"/>
      <c r="G55"/>
      <c r="H55"/>
      <c r="I55"/>
      <c r="J55"/>
      <c r="K55"/>
    </row>
    <row r="56" spans="1:11">
      <c r="A56"/>
      <c r="B56"/>
      <c r="C56"/>
      <c r="D56"/>
      <c r="E56"/>
      <c r="F56"/>
      <c r="G56"/>
      <c r="H56"/>
      <c r="I56"/>
      <c r="J56"/>
      <c r="K56"/>
    </row>
    <row r="57" spans="1:11">
      <c r="A57"/>
      <c r="B57"/>
      <c r="C57"/>
      <c r="D57"/>
      <c r="E57"/>
      <c r="F57"/>
      <c r="G57"/>
      <c r="H57"/>
      <c r="I57"/>
      <c r="J57"/>
      <c r="K57"/>
    </row>
    <row r="58" spans="1:11">
      <c r="A58"/>
      <c r="B58"/>
      <c r="C58"/>
      <c r="D58"/>
      <c r="E58"/>
      <c r="F58"/>
      <c r="G58"/>
      <c r="H58"/>
      <c r="I58"/>
      <c r="J58"/>
      <c r="K58"/>
    </row>
    <row r="59" spans="1:11">
      <c r="A59"/>
      <c r="B59"/>
      <c r="C59"/>
      <c r="D59"/>
      <c r="E59"/>
      <c r="F59"/>
      <c r="G59"/>
      <c r="H59"/>
      <c r="I59"/>
      <c r="J59"/>
      <c r="K59"/>
    </row>
    <row r="60" spans="1:11">
      <c r="A60"/>
      <c r="B60"/>
      <c r="C60"/>
      <c r="D60"/>
      <c r="E60"/>
      <c r="F60"/>
      <c r="G60"/>
      <c r="H60"/>
      <c r="I60"/>
      <c r="J60"/>
      <c r="K60"/>
    </row>
    <row r="61" spans="1:11">
      <c r="A61"/>
      <c r="B61"/>
      <c r="C61"/>
      <c r="D61"/>
      <c r="E61"/>
      <c r="F61"/>
      <c r="G61"/>
      <c r="H61"/>
      <c r="I61"/>
      <c r="J61"/>
      <c r="K61"/>
    </row>
    <row r="62" spans="1:11">
      <c r="A62"/>
      <c r="B62"/>
      <c r="C62"/>
      <c r="D62"/>
      <c r="E62"/>
      <c r="F62"/>
      <c r="G62"/>
      <c r="H62"/>
      <c r="I62"/>
      <c r="J62"/>
      <c r="K62"/>
    </row>
    <row r="63" spans="1:11">
      <c r="A63"/>
      <c r="B63"/>
      <c r="C63"/>
      <c r="D63"/>
      <c r="E63"/>
      <c r="F63"/>
      <c r="G63"/>
      <c r="H63"/>
      <c r="I63"/>
      <c r="J63"/>
      <c r="K63"/>
    </row>
    <row r="64" spans="1:11">
      <c r="A64"/>
      <c r="B64"/>
      <c r="C64"/>
      <c r="D64"/>
      <c r="E64"/>
      <c r="F64"/>
      <c r="G64"/>
      <c r="H64"/>
      <c r="I64"/>
      <c r="J64"/>
      <c r="K64"/>
    </row>
    <row r="65" spans="1:11">
      <c r="A65"/>
      <c r="B65"/>
      <c r="C65"/>
      <c r="D65"/>
      <c r="E65"/>
      <c r="F65"/>
      <c r="G65"/>
      <c r="H65"/>
      <c r="I65"/>
      <c r="J65"/>
      <c r="K65"/>
    </row>
    <row r="66" spans="1:11">
      <c r="A66"/>
      <c r="B66"/>
      <c r="C66"/>
      <c r="D66"/>
      <c r="E66"/>
      <c r="F66"/>
      <c r="G66"/>
      <c r="H66"/>
      <c r="I66"/>
      <c r="J66"/>
      <c r="K66"/>
    </row>
    <row r="67" spans="1:11">
      <c r="A67"/>
      <c r="B67"/>
      <c r="C67"/>
      <c r="D67"/>
      <c r="E67"/>
      <c r="F67"/>
      <c r="G67"/>
      <c r="H67"/>
      <c r="I67"/>
      <c r="J67"/>
      <c r="K67"/>
    </row>
    <row r="68" spans="1:11">
      <c r="A68"/>
      <c r="B68"/>
      <c r="C68"/>
      <c r="D68"/>
      <c r="E68"/>
      <c r="F68"/>
      <c r="G68"/>
      <c r="H68"/>
      <c r="I68"/>
      <c r="J68"/>
      <c r="K68"/>
    </row>
    <row r="69" spans="1:11">
      <c r="A69"/>
      <c r="B69"/>
      <c r="C69"/>
      <c r="D69"/>
      <c r="E69"/>
      <c r="F69"/>
      <c r="G69"/>
      <c r="H69"/>
      <c r="I69"/>
      <c r="J69"/>
      <c r="K69"/>
    </row>
    <row r="70" spans="1:11">
      <c r="A70"/>
      <c r="B70"/>
      <c r="C70"/>
      <c r="D70"/>
      <c r="E70"/>
      <c r="F70"/>
      <c r="G70"/>
      <c r="H70"/>
      <c r="I70"/>
      <c r="J70"/>
      <c r="K70"/>
    </row>
    <row r="71" spans="1:11">
      <c r="A71"/>
      <c r="B71"/>
      <c r="C71"/>
      <c r="D71"/>
      <c r="E71"/>
      <c r="F71"/>
      <c r="G71"/>
      <c r="H71"/>
      <c r="I71"/>
      <c r="J71"/>
      <c r="K71"/>
    </row>
    <row r="72" spans="1:11">
      <c r="A72"/>
      <c r="B72"/>
      <c r="C72"/>
      <c r="D72"/>
      <c r="E72"/>
      <c r="F72"/>
      <c r="G72"/>
      <c r="H72"/>
      <c r="I72"/>
      <c r="J72"/>
      <c r="K72"/>
    </row>
    <row r="73" spans="1:11">
      <c r="A73"/>
      <c r="B73"/>
      <c r="C73"/>
      <c r="D73"/>
      <c r="E73"/>
      <c r="F73"/>
      <c r="G73"/>
      <c r="H73"/>
      <c r="I73"/>
      <c r="J73"/>
      <c r="K73"/>
    </row>
    <row r="74" spans="1:11">
      <c r="A74"/>
      <c r="B74"/>
      <c r="C74"/>
      <c r="D74"/>
      <c r="E74"/>
      <c r="F74"/>
      <c r="G74"/>
      <c r="H74"/>
      <c r="I74"/>
      <c r="J74"/>
      <c r="K74"/>
    </row>
    <row r="75" spans="1:11">
      <c r="A75"/>
      <c r="B75"/>
      <c r="C75"/>
      <c r="D75"/>
      <c r="E75"/>
      <c r="F75"/>
      <c r="G75"/>
      <c r="H75"/>
      <c r="I75"/>
      <c r="J75"/>
      <c r="K75"/>
    </row>
    <row r="76" spans="1:11">
      <c r="A76"/>
      <c r="B76"/>
      <c r="C76"/>
      <c r="D76"/>
      <c r="E76"/>
      <c r="F76"/>
      <c r="G76"/>
      <c r="H76"/>
      <c r="I76"/>
      <c r="J76"/>
      <c r="K76"/>
    </row>
    <row r="77" spans="1:11">
      <c r="A77"/>
      <c r="B77"/>
      <c r="C77"/>
      <c r="D77"/>
      <c r="E77"/>
      <c r="F77"/>
      <c r="G77"/>
      <c r="H77"/>
      <c r="I77"/>
      <c r="J77"/>
      <c r="K77"/>
    </row>
    <row r="78" spans="1:11">
      <c r="A78"/>
      <c r="B78"/>
      <c r="C78"/>
      <c r="D78"/>
      <c r="E78"/>
      <c r="F78"/>
      <c r="G78"/>
      <c r="H78"/>
      <c r="I78"/>
      <c r="J78"/>
      <c r="K78"/>
    </row>
    <row r="79" spans="1:11">
      <c r="A79"/>
      <c r="B79"/>
      <c r="C79"/>
      <c r="D79"/>
      <c r="E79"/>
      <c r="F79"/>
      <c r="G79"/>
      <c r="H79"/>
      <c r="I79"/>
      <c r="J79"/>
      <c r="K79"/>
    </row>
    <row r="80" spans="1:11">
      <c r="A80"/>
      <c r="B80"/>
      <c r="C80"/>
      <c r="D80"/>
      <c r="E80"/>
      <c r="F80"/>
      <c r="G80"/>
      <c r="H80"/>
      <c r="I80"/>
      <c r="J80"/>
      <c r="K80"/>
    </row>
    <row r="81" spans="1:11">
      <c r="A81"/>
      <c r="B81"/>
      <c r="C81"/>
      <c r="D81"/>
      <c r="E81"/>
      <c r="F81"/>
      <c r="G81"/>
      <c r="H81"/>
      <c r="I81"/>
      <c r="J81"/>
      <c r="K81"/>
    </row>
    <row r="82" spans="1:11">
      <c r="A82"/>
      <c r="B82"/>
      <c r="C82"/>
      <c r="D82"/>
      <c r="E82"/>
      <c r="F82"/>
      <c r="G82"/>
      <c r="H82"/>
      <c r="I82"/>
      <c r="J82"/>
      <c r="K82"/>
    </row>
    <row r="83" spans="1:11">
      <c r="A83"/>
      <c r="B83"/>
      <c r="C83"/>
      <c r="D83"/>
      <c r="E83"/>
      <c r="F83"/>
      <c r="G83"/>
      <c r="H83"/>
      <c r="I83"/>
      <c r="J83"/>
      <c r="K83"/>
    </row>
    <row r="84" spans="1:11">
      <c r="A84"/>
      <c r="B84"/>
      <c r="C84"/>
      <c r="D84"/>
      <c r="E84"/>
      <c r="F84"/>
      <c r="G84"/>
      <c r="H84"/>
      <c r="I84"/>
      <c r="J84"/>
      <c r="K84"/>
    </row>
    <row r="85" spans="1:11">
      <c r="A85"/>
      <c r="B85"/>
      <c r="C85"/>
      <c r="D85"/>
      <c r="E85"/>
      <c r="F85"/>
      <c r="G85"/>
      <c r="H85"/>
      <c r="I85"/>
      <c r="J85"/>
      <c r="K85"/>
    </row>
    <row r="86" spans="1:11">
      <c r="A86"/>
      <c r="B86"/>
      <c r="C86"/>
      <c r="D86"/>
      <c r="E86"/>
      <c r="F86"/>
      <c r="G86"/>
      <c r="H86"/>
      <c r="I86"/>
      <c r="J86"/>
      <c r="K86"/>
    </row>
    <row r="87" spans="1:11">
      <c r="A87"/>
      <c r="B87"/>
      <c r="C87"/>
      <c r="D87"/>
      <c r="E87"/>
      <c r="F87"/>
      <c r="G87"/>
      <c r="H87"/>
      <c r="I87"/>
      <c r="J87"/>
      <c r="K87"/>
    </row>
    <row r="88" spans="1:11">
      <c r="A88"/>
      <c r="B88"/>
      <c r="C88"/>
      <c r="D88"/>
      <c r="E88"/>
      <c r="F88"/>
      <c r="G88"/>
      <c r="H88"/>
      <c r="I88"/>
      <c r="J88"/>
      <c r="K88"/>
    </row>
    <row r="89" spans="1:11">
      <c r="A89"/>
      <c r="B89"/>
      <c r="C89"/>
      <c r="D89"/>
      <c r="E89"/>
      <c r="F89"/>
      <c r="G89"/>
      <c r="H89"/>
      <c r="I89"/>
      <c r="J89"/>
      <c r="K89"/>
    </row>
    <row r="90" spans="1:11">
      <c r="A90"/>
      <c r="B90"/>
      <c r="C90"/>
      <c r="D90"/>
      <c r="E90"/>
      <c r="F90"/>
      <c r="G90"/>
      <c r="H90"/>
      <c r="I90"/>
      <c r="J90"/>
      <c r="K90"/>
    </row>
    <row r="91" spans="1:11">
      <c r="A91"/>
      <c r="B91"/>
      <c r="C91"/>
      <c r="D91"/>
      <c r="E91"/>
      <c r="F91"/>
      <c r="G91"/>
      <c r="H91"/>
      <c r="I91"/>
      <c r="J91"/>
      <c r="K91"/>
    </row>
    <row r="92" spans="1:11">
      <c r="A92"/>
      <c r="B92"/>
      <c r="C92"/>
      <c r="D92"/>
      <c r="E92"/>
      <c r="F92"/>
      <c r="G92"/>
      <c r="H92"/>
      <c r="I92"/>
      <c r="J92"/>
      <c r="K92"/>
    </row>
    <row r="93" spans="1:11">
      <c r="A93"/>
      <c r="B93"/>
      <c r="C93"/>
      <c r="D93"/>
      <c r="E93"/>
      <c r="F93"/>
      <c r="G93"/>
      <c r="H93"/>
      <c r="I93"/>
      <c r="J93"/>
      <c r="K93"/>
    </row>
    <row r="94" spans="1:11">
      <c r="A94"/>
      <c r="B94"/>
      <c r="C94"/>
      <c r="D94"/>
      <c r="E94"/>
      <c r="F94"/>
      <c r="G94"/>
      <c r="H94"/>
      <c r="I94"/>
      <c r="J94"/>
      <c r="K94"/>
    </row>
    <row r="95" spans="1:11">
      <c r="A95"/>
      <c r="B95"/>
      <c r="C95"/>
      <c r="D95"/>
      <c r="E95"/>
      <c r="F95"/>
      <c r="G95"/>
      <c r="H95"/>
      <c r="I95"/>
      <c r="J95"/>
      <c r="K95"/>
    </row>
    <row r="96" spans="1:11">
      <c r="A96"/>
      <c r="B96"/>
      <c r="C96"/>
      <c r="D96"/>
      <c r="E96"/>
      <c r="F96"/>
      <c r="G96"/>
      <c r="H96"/>
      <c r="I96"/>
      <c r="J96"/>
      <c r="K96"/>
    </row>
    <row r="97" spans="1:11">
      <c r="A97"/>
      <c r="B97"/>
      <c r="C97"/>
      <c r="D97"/>
      <c r="E97"/>
      <c r="F97"/>
      <c r="G97"/>
      <c r="H97"/>
      <c r="I97"/>
      <c r="J97"/>
      <c r="K97"/>
    </row>
    <row r="98" spans="1:11">
      <c r="A98"/>
      <c r="B98"/>
      <c r="C98"/>
      <c r="D98"/>
      <c r="E98"/>
      <c r="F98"/>
      <c r="G98"/>
      <c r="H98"/>
      <c r="I98"/>
      <c r="J98"/>
      <c r="K98"/>
    </row>
    <row r="99" spans="1:11">
      <c r="A99"/>
      <c r="B99"/>
      <c r="C99"/>
      <c r="D99"/>
      <c r="E99"/>
      <c r="F99"/>
      <c r="G99"/>
      <c r="H99"/>
      <c r="I99"/>
      <c r="J99"/>
      <c r="K99"/>
    </row>
    <row r="100" spans="1:11">
      <c r="A100"/>
      <c r="B100"/>
      <c r="C100"/>
      <c r="D100"/>
      <c r="E100"/>
      <c r="F100"/>
      <c r="G100"/>
      <c r="H100"/>
      <c r="I100"/>
      <c r="J100"/>
      <c r="K100"/>
    </row>
    <row r="101" spans="1:11">
      <c r="A101"/>
      <c r="B101"/>
      <c r="C101"/>
      <c r="D101"/>
      <c r="E101"/>
      <c r="F101"/>
      <c r="G101"/>
      <c r="H101"/>
      <c r="I101"/>
      <c r="J101"/>
      <c r="K101"/>
    </row>
    <row r="102" spans="1:11">
      <c r="A102"/>
      <c r="B102"/>
      <c r="C102"/>
      <c r="D102"/>
      <c r="E102"/>
      <c r="F102"/>
      <c r="G102"/>
      <c r="H102"/>
      <c r="I102"/>
      <c r="J102"/>
      <c r="K102"/>
    </row>
    <row r="103" spans="1:11">
      <c r="A103"/>
      <c r="B103"/>
      <c r="C103"/>
      <c r="D103"/>
      <c r="E103"/>
      <c r="F103"/>
      <c r="G103"/>
      <c r="H103"/>
      <c r="I103"/>
      <c r="J103"/>
      <c r="K103"/>
    </row>
    <row r="104" spans="1:11">
      <c r="A104"/>
      <c r="B104"/>
      <c r="C104"/>
      <c r="D104"/>
      <c r="E104"/>
      <c r="F104"/>
      <c r="G104"/>
      <c r="H104"/>
      <c r="I104"/>
      <c r="J104"/>
      <c r="K104"/>
    </row>
    <row r="105" spans="1:11">
      <c r="A105"/>
      <c r="B105"/>
      <c r="C105"/>
      <c r="D105"/>
      <c r="E105"/>
      <c r="F105"/>
      <c r="G105"/>
      <c r="H105"/>
      <c r="I105"/>
      <c r="J105"/>
      <c r="K105"/>
    </row>
    <row r="106" spans="1:11">
      <c r="A106"/>
      <c r="B106"/>
      <c r="C106"/>
      <c r="D106"/>
      <c r="E106"/>
      <c r="F106"/>
      <c r="G106"/>
      <c r="H106"/>
      <c r="I106"/>
      <c r="J106"/>
      <c r="K106"/>
    </row>
    <row r="107" spans="1:11">
      <c r="A107"/>
      <c r="B107"/>
      <c r="C107"/>
      <c r="D107"/>
      <c r="E107"/>
      <c r="F107"/>
      <c r="G107"/>
      <c r="H107"/>
      <c r="I107"/>
      <c r="J107"/>
      <c r="K107"/>
    </row>
    <row r="108" spans="1:11">
      <c r="A108"/>
      <c r="B108"/>
      <c r="C108"/>
      <c r="D108"/>
      <c r="E108"/>
      <c r="F108"/>
      <c r="G108"/>
      <c r="H108"/>
      <c r="I108"/>
      <c r="J108"/>
      <c r="K108"/>
    </row>
    <row r="109" spans="1:11">
      <c r="A109"/>
      <c r="B109"/>
      <c r="C109"/>
      <c r="D109"/>
      <c r="E109"/>
      <c r="F109"/>
      <c r="G109"/>
      <c r="H109"/>
      <c r="I109"/>
      <c r="J109"/>
      <c r="K109"/>
    </row>
    <row r="110" spans="1:11">
      <c r="A110"/>
      <c r="B110"/>
      <c r="C110"/>
      <c r="D110"/>
      <c r="E110"/>
      <c r="F110"/>
      <c r="G110"/>
      <c r="H110"/>
      <c r="I110"/>
      <c r="J110"/>
      <c r="K110"/>
    </row>
    <row r="111" spans="1:11">
      <c r="A111"/>
      <c r="B111"/>
      <c r="C111"/>
      <c r="D111"/>
      <c r="E111"/>
      <c r="F111"/>
      <c r="G111"/>
      <c r="H111"/>
      <c r="I111"/>
      <c r="J111"/>
      <c r="K111"/>
    </row>
    <row r="112" spans="1:11">
      <c r="A112"/>
      <c r="B112"/>
      <c r="C112"/>
      <c r="D112"/>
      <c r="E112"/>
      <c r="F112"/>
      <c r="G112"/>
      <c r="H112"/>
      <c r="I112"/>
      <c r="J112"/>
      <c r="K112"/>
    </row>
    <row r="113" spans="1:11">
      <c r="A113"/>
      <c r="B113"/>
      <c r="C113"/>
      <c r="D113"/>
      <c r="E113"/>
      <c r="F113"/>
      <c r="G113"/>
      <c r="H113"/>
      <c r="I113"/>
      <c r="J113"/>
      <c r="K113"/>
    </row>
    <row r="114" spans="1:11">
      <c r="A114"/>
      <c r="B114"/>
      <c r="C114"/>
      <c r="D114"/>
      <c r="E114"/>
      <c r="F114"/>
      <c r="G114"/>
      <c r="H114"/>
      <c r="I114"/>
      <c r="J114"/>
      <c r="K114"/>
    </row>
    <row r="115" spans="1:11">
      <c r="A115"/>
      <c r="B115"/>
      <c r="C115"/>
      <c r="D115"/>
      <c r="E115"/>
      <c r="F115"/>
      <c r="G115"/>
      <c r="H115"/>
      <c r="I115"/>
      <c r="J115"/>
      <c r="K115"/>
    </row>
    <row r="116" spans="1:11">
      <c r="A116"/>
      <c r="B116"/>
      <c r="C116"/>
      <c r="D116"/>
      <c r="E116"/>
      <c r="F116"/>
      <c r="G116"/>
      <c r="H116"/>
      <c r="I116"/>
      <c r="J116"/>
      <c r="K116"/>
    </row>
    <row r="117" spans="1:11">
      <c r="A117"/>
      <c r="B117"/>
      <c r="C117"/>
      <c r="D117"/>
      <c r="E117"/>
      <c r="F117"/>
      <c r="G117"/>
      <c r="H117"/>
      <c r="I117"/>
      <c r="J117"/>
      <c r="K117"/>
    </row>
    <row r="118" spans="1:11">
      <c r="A118"/>
      <c r="B118"/>
      <c r="C118"/>
      <c r="D118"/>
      <c r="E118"/>
      <c r="F118"/>
      <c r="G118"/>
      <c r="H118"/>
      <c r="I118"/>
      <c r="J118"/>
      <c r="K118"/>
    </row>
    <row r="119" spans="1:11">
      <c r="A119"/>
      <c r="B119"/>
      <c r="C119"/>
      <c r="D119"/>
      <c r="E119"/>
      <c r="F119"/>
      <c r="G119"/>
      <c r="H119"/>
      <c r="I119"/>
      <c r="J119"/>
      <c r="K119"/>
    </row>
    <row r="120" spans="1:11">
      <c r="A120"/>
      <c r="B120"/>
      <c r="C120"/>
      <c r="D120"/>
      <c r="E120"/>
      <c r="F120"/>
      <c r="G120"/>
      <c r="H120"/>
      <c r="I120"/>
      <c r="J120"/>
      <c r="K120"/>
    </row>
    <row r="121" spans="1:11">
      <c r="A121"/>
      <c r="B121"/>
      <c r="C121"/>
      <c r="D121"/>
      <c r="E121"/>
      <c r="F121"/>
      <c r="G121"/>
      <c r="H121"/>
      <c r="I121"/>
      <c r="J121"/>
      <c r="K121"/>
    </row>
    <row r="122" spans="1:11">
      <c r="A122"/>
      <c r="B122"/>
      <c r="C122"/>
      <c r="D122"/>
      <c r="E122"/>
      <c r="F122"/>
      <c r="G122"/>
      <c r="H122"/>
      <c r="I122"/>
      <c r="J122"/>
      <c r="K122"/>
    </row>
    <row r="123" spans="1:11">
      <c r="A123"/>
      <c r="B123"/>
      <c r="C123"/>
      <c r="D123"/>
      <c r="E123"/>
      <c r="F123"/>
      <c r="G123"/>
      <c r="H123"/>
      <c r="I123"/>
      <c r="J123"/>
      <c r="K123"/>
    </row>
    <row r="124" spans="1:11">
      <c r="A124"/>
      <c r="B124"/>
      <c r="C124"/>
      <c r="D124"/>
      <c r="E124"/>
      <c r="F124"/>
      <c r="G124"/>
      <c r="H124"/>
      <c r="I124"/>
      <c r="J124"/>
      <c r="K124"/>
    </row>
    <row r="125" spans="1:11">
      <c r="A125"/>
      <c r="B125"/>
      <c r="C125"/>
      <c r="D125"/>
      <c r="E125"/>
      <c r="F125"/>
      <c r="G125"/>
      <c r="H125"/>
      <c r="I125"/>
      <c r="J125"/>
      <c r="K125"/>
    </row>
    <row r="126" spans="1:11">
      <c r="A126"/>
      <c r="B126"/>
      <c r="C126"/>
      <c r="D126"/>
      <c r="E126"/>
      <c r="F126"/>
      <c r="G126"/>
      <c r="H126"/>
      <c r="I126"/>
      <c r="J126"/>
      <c r="K126"/>
    </row>
    <row r="127" spans="1:11">
      <c r="A127"/>
      <c r="B127"/>
      <c r="C127"/>
      <c r="D127"/>
      <c r="E127"/>
      <c r="F127"/>
      <c r="G127"/>
      <c r="H127"/>
      <c r="I127"/>
      <c r="J127"/>
      <c r="K127"/>
    </row>
    <row r="128" spans="1:11">
      <c r="A128"/>
      <c r="B128"/>
      <c r="C128"/>
      <c r="D128"/>
      <c r="E128"/>
      <c r="F128"/>
      <c r="G128"/>
      <c r="H128"/>
      <c r="I128"/>
      <c r="J128"/>
      <c r="K128"/>
    </row>
    <row r="129" spans="1:11">
      <c r="A129"/>
      <c r="B129"/>
      <c r="C129"/>
      <c r="D129"/>
      <c r="E129"/>
      <c r="F129"/>
      <c r="G129"/>
      <c r="H129"/>
      <c r="I129"/>
      <c r="J129"/>
      <c r="K129"/>
    </row>
    <row r="130" spans="1:11">
      <c r="A130"/>
      <c r="B130"/>
      <c r="C130"/>
      <c r="D130"/>
      <c r="E130"/>
      <c r="F130"/>
      <c r="G130"/>
      <c r="H130"/>
      <c r="I130"/>
      <c r="J130"/>
      <c r="K130"/>
    </row>
    <row r="131" spans="1:11">
      <c r="A131"/>
      <c r="B131"/>
      <c r="C131"/>
      <c r="D131"/>
      <c r="E131"/>
      <c r="F131"/>
      <c r="G131"/>
      <c r="H131"/>
      <c r="I131"/>
      <c r="J131"/>
      <c r="K131"/>
    </row>
    <row r="132" spans="1:11">
      <c r="A132"/>
      <c r="B132"/>
      <c r="C132"/>
      <c r="D132"/>
      <c r="E132"/>
      <c r="F132"/>
      <c r="G132"/>
      <c r="H132"/>
      <c r="I132"/>
      <c r="J132"/>
      <c r="K132"/>
    </row>
    <row r="133" spans="1:11">
      <c r="A133"/>
      <c r="B133"/>
      <c r="C133"/>
      <c r="D133"/>
      <c r="E133"/>
      <c r="F133"/>
      <c r="G133"/>
      <c r="H133"/>
      <c r="I133"/>
      <c r="J133"/>
      <c r="K133"/>
    </row>
    <row r="134" spans="1:11">
      <c r="A134"/>
      <c r="B134"/>
      <c r="C134"/>
      <c r="D134"/>
      <c r="E134"/>
      <c r="F134"/>
      <c r="G134"/>
      <c r="H134"/>
      <c r="I134"/>
      <c r="J134"/>
      <c r="K134"/>
    </row>
    <row r="135" spans="1:11">
      <c r="A135"/>
      <c r="B135"/>
      <c r="C135"/>
      <c r="D135"/>
      <c r="E135"/>
      <c r="F135"/>
      <c r="G135"/>
      <c r="H135"/>
      <c r="I135"/>
      <c r="J135"/>
      <c r="K135"/>
    </row>
    <row r="136" spans="1:11">
      <c r="A136"/>
      <c r="B136"/>
      <c r="C136"/>
      <c r="D136"/>
      <c r="E136"/>
      <c r="F136"/>
      <c r="G136"/>
      <c r="H136"/>
      <c r="I136"/>
      <c r="J136"/>
      <c r="K136"/>
    </row>
    <row r="137" spans="1:11">
      <c r="A137"/>
      <c r="B137"/>
      <c r="C137"/>
      <c r="D137"/>
      <c r="E137"/>
      <c r="F137"/>
      <c r="G137"/>
      <c r="H137"/>
      <c r="I137"/>
      <c r="J137"/>
      <c r="K137"/>
    </row>
    <row r="138" spans="1:11">
      <c r="A138"/>
      <c r="B138"/>
      <c r="C138"/>
      <c r="D138"/>
      <c r="E138"/>
      <c r="F138"/>
      <c r="G138"/>
      <c r="H138"/>
      <c r="I138"/>
      <c r="J138"/>
      <c r="K138"/>
    </row>
    <row r="139" spans="1:11">
      <c r="A139"/>
      <c r="B139"/>
      <c r="C139"/>
      <c r="D139"/>
      <c r="E139"/>
      <c r="F139"/>
      <c r="G139"/>
      <c r="H139"/>
      <c r="I139"/>
      <c r="J139"/>
      <c r="K139"/>
    </row>
    <row r="140" spans="1:11">
      <c r="A140"/>
      <c r="B140"/>
      <c r="C140"/>
      <c r="D140"/>
      <c r="E140"/>
      <c r="F140"/>
      <c r="G140"/>
      <c r="H140"/>
      <c r="I140"/>
      <c r="J140"/>
      <c r="K140"/>
    </row>
    <row r="141" spans="1:11">
      <c r="A141"/>
      <c r="B141"/>
      <c r="C141"/>
      <c r="D141"/>
      <c r="E141"/>
      <c r="F141"/>
      <c r="G141"/>
      <c r="H141"/>
      <c r="I141"/>
      <c r="J141"/>
      <c r="K141"/>
    </row>
    <row r="142" spans="1:11">
      <c r="A142"/>
      <c r="B142"/>
      <c r="C142"/>
      <c r="D142"/>
      <c r="E142"/>
      <c r="F142"/>
      <c r="G142"/>
      <c r="H142"/>
      <c r="I142"/>
      <c r="J142"/>
      <c r="K142"/>
    </row>
    <row r="143" spans="1:11">
      <c r="A143"/>
      <c r="B143"/>
      <c r="C143"/>
      <c r="D143"/>
      <c r="E143"/>
      <c r="F143"/>
      <c r="G143"/>
      <c r="H143"/>
      <c r="I143"/>
      <c r="J143"/>
      <c r="K143"/>
    </row>
    <row r="144" spans="1:11">
      <c r="A144"/>
      <c r="B144"/>
      <c r="C144"/>
      <c r="D144"/>
      <c r="E144"/>
      <c r="F144"/>
      <c r="G144"/>
      <c r="H144"/>
      <c r="I144"/>
      <c r="J144"/>
      <c r="K144"/>
    </row>
    <row r="145" spans="1:11">
      <c r="A145"/>
      <c r="B145"/>
      <c r="C145"/>
      <c r="D145"/>
      <c r="E145"/>
      <c r="F145"/>
      <c r="G145"/>
      <c r="H145"/>
      <c r="I145"/>
      <c r="J145"/>
      <c r="K145"/>
    </row>
    <row r="146" spans="1:11">
      <c r="A146"/>
      <c r="B146"/>
      <c r="C146"/>
      <c r="D146"/>
      <c r="E146"/>
      <c r="F146"/>
      <c r="G146"/>
      <c r="H146"/>
      <c r="I146"/>
      <c r="J146"/>
      <c r="K146"/>
    </row>
    <row r="147" spans="1:11">
      <c r="A147"/>
      <c r="B147"/>
      <c r="C147"/>
      <c r="D147"/>
      <c r="E147"/>
      <c r="F147"/>
      <c r="G147"/>
      <c r="H147"/>
      <c r="I147"/>
      <c r="J147"/>
      <c r="K147"/>
    </row>
    <row r="148" spans="1:11">
      <c r="A148"/>
      <c r="B148"/>
      <c r="C148"/>
      <c r="D148"/>
      <c r="E148"/>
      <c r="F148"/>
      <c r="G148"/>
      <c r="H148"/>
      <c r="I148"/>
      <c r="J148"/>
      <c r="K148"/>
    </row>
    <row r="149" spans="1:11">
      <c r="A149"/>
      <c r="B149"/>
      <c r="C149"/>
      <c r="D149"/>
      <c r="E149"/>
      <c r="F149"/>
      <c r="G149"/>
      <c r="H149"/>
      <c r="I149"/>
      <c r="J149"/>
      <c r="K149"/>
    </row>
    <row r="150" spans="1:11">
      <c r="A150"/>
      <c r="B150"/>
      <c r="C150"/>
      <c r="D150"/>
      <c r="E150"/>
      <c r="F150"/>
      <c r="G150"/>
      <c r="H150"/>
      <c r="I150"/>
      <c r="J150"/>
      <c r="K150"/>
    </row>
    <row r="151" spans="1:11">
      <c r="A151"/>
      <c r="B151"/>
      <c r="C151"/>
      <c r="D151"/>
      <c r="E151"/>
      <c r="F151"/>
      <c r="G151"/>
      <c r="H151"/>
      <c r="I151"/>
      <c r="J151"/>
      <c r="K151"/>
    </row>
    <row r="152" spans="1:11">
      <c r="A152"/>
      <c r="B152"/>
      <c r="C152"/>
      <c r="D152"/>
      <c r="E152"/>
      <c r="F152"/>
      <c r="G152"/>
      <c r="H152"/>
      <c r="I152"/>
      <c r="J152"/>
      <c r="K152"/>
    </row>
    <row r="153" spans="1:11">
      <c r="A153"/>
      <c r="B153"/>
      <c r="C153"/>
      <c r="D153"/>
      <c r="E153"/>
      <c r="F153"/>
      <c r="G153"/>
      <c r="H153"/>
      <c r="I153"/>
      <c r="J153"/>
      <c r="K153"/>
    </row>
    <row r="154" spans="1:11">
      <c r="A154"/>
      <c r="B154"/>
      <c r="C154"/>
      <c r="D154"/>
      <c r="E154"/>
      <c r="F154"/>
      <c r="G154"/>
      <c r="H154"/>
      <c r="I154"/>
      <c r="J154"/>
      <c r="K154"/>
    </row>
    <row r="155" spans="1:11">
      <c r="A155"/>
      <c r="B155"/>
      <c r="C155"/>
      <c r="D155"/>
      <c r="E155"/>
      <c r="F155"/>
      <c r="G155"/>
      <c r="H155"/>
      <c r="I155"/>
      <c r="J155"/>
      <c r="K155"/>
    </row>
    <row r="156" spans="1:11">
      <c r="A156"/>
      <c r="B156"/>
      <c r="C156"/>
      <c r="D156"/>
      <c r="E156"/>
      <c r="F156"/>
      <c r="G156"/>
      <c r="H156"/>
      <c r="I156"/>
      <c r="J156"/>
      <c r="K156"/>
    </row>
    <row r="157" spans="1:11">
      <c r="A157"/>
      <c r="B157"/>
      <c r="C157"/>
      <c r="D157"/>
      <c r="E157"/>
      <c r="F157"/>
      <c r="G157"/>
      <c r="H157"/>
      <c r="I157"/>
      <c r="J157"/>
      <c r="K157"/>
    </row>
    <row r="158" spans="1:11">
      <c r="A158"/>
      <c r="B158"/>
      <c r="C158"/>
      <c r="D158"/>
      <c r="E158"/>
      <c r="F158"/>
      <c r="G158"/>
      <c r="H158"/>
      <c r="I158"/>
      <c r="J158"/>
      <c r="K158"/>
    </row>
    <row r="159" spans="1:11">
      <c r="A159"/>
      <c r="B159"/>
      <c r="C159"/>
      <c r="D159"/>
      <c r="E159"/>
      <c r="F159"/>
      <c r="G159"/>
      <c r="H159"/>
      <c r="I159"/>
      <c r="J159"/>
      <c r="K159"/>
    </row>
    <row r="160" spans="1:11">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sheetData>
  <mergeCells count="1">
    <mergeCell ref="A1:K1"/>
  </mergeCells>
  <pageMargins left="0.75" right="0.75" top="1" bottom="1" header="0.5" footer="0.5"/>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32"/>
  <sheetViews>
    <sheetView zoomScale="85" zoomScaleNormal="85" workbookViewId="0">
      <pane xSplit="2" ySplit="3" topLeftCell="C4" activePane="bottomRight" state="frozen"/>
      <selection/>
      <selection pane="topRight"/>
      <selection pane="bottomLeft"/>
      <selection pane="bottomRight" activeCell="B25" sqref="B25"/>
    </sheetView>
  </sheetViews>
  <sheetFormatPr defaultColWidth="9" defaultRowHeight="13.5"/>
  <cols>
    <col min="2" max="2" width="51.9083333333333" style="54" customWidth="1"/>
    <col min="3" max="3" width="11.625" style="54" customWidth="1"/>
    <col min="4" max="4" width="7.25" style="45" customWidth="1"/>
    <col min="5" max="5" width="10.625" style="45" customWidth="1"/>
    <col min="6" max="6" width="19.625" style="45" customWidth="1"/>
    <col min="7" max="7" width="38.225" style="45" customWidth="1"/>
    <col min="8" max="8" width="8.75" style="45" customWidth="1"/>
    <col min="9" max="9" width="10.375" style="45"/>
    <col min="10" max="10" width="9" style="45"/>
    <col min="11" max="11" width="19" style="45" customWidth="1"/>
    <col min="12" max="12" width="12.125" style="64" customWidth="1"/>
    <col min="13" max="13" width="10.5" style="45" customWidth="1"/>
    <col min="14" max="16384" width="9" style="45"/>
  </cols>
  <sheetData>
    <row r="1" ht="24" customHeight="1" spans="1:12">
      <c r="A1" s="82" t="s">
        <v>53</v>
      </c>
      <c r="B1" s="82"/>
      <c r="C1" s="82"/>
      <c r="D1" s="82"/>
      <c r="E1" s="82"/>
      <c r="F1" s="82"/>
      <c r="G1" s="82"/>
      <c r="H1" s="82"/>
      <c r="I1" s="82"/>
      <c r="J1" s="82"/>
      <c r="K1" s="82"/>
      <c r="L1" s="86"/>
    </row>
    <row r="2" s="81" customFormat="1" ht="30" customHeight="1" spans="1:13">
      <c r="A2" s="81" t="s">
        <v>1</v>
      </c>
      <c r="B2" s="83" t="s">
        <v>54</v>
      </c>
      <c r="C2" s="81" t="s">
        <v>55</v>
      </c>
      <c r="D2" s="83" t="s">
        <v>56</v>
      </c>
      <c r="E2" s="84" t="s">
        <v>57</v>
      </c>
      <c r="F2" s="81" t="s">
        <v>58</v>
      </c>
      <c r="G2" s="81" t="s">
        <v>59</v>
      </c>
      <c r="H2" s="81" t="s">
        <v>60</v>
      </c>
      <c r="I2" s="81" t="s">
        <v>61</v>
      </c>
      <c r="J2" s="83" t="s">
        <v>62</v>
      </c>
      <c r="K2" s="81" t="s">
        <v>63</v>
      </c>
      <c r="L2" s="87" t="s">
        <v>64</v>
      </c>
      <c r="M2" s="81" t="s">
        <v>65</v>
      </c>
    </row>
    <row r="3" s="81" customFormat="1" ht="15" customHeight="1" spans="1:12">
      <c r="A3" s="81">
        <v>1</v>
      </c>
      <c r="B3" s="81">
        <v>2</v>
      </c>
      <c r="C3" s="81">
        <v>3</v>
      </c>
      <c r="D3" s="81">
        <v>4</v>
      </c>
      <c r="E3" s="81">
        <v>5</v>
      </c>
      <c r="F3" s="81">
        <v>6</v>
      </c>
      <c r="G3" s="81">
        <v>8</v>
      </c>
      <c r="H3" s="81">
        <v>7</v>
      </c>
      <c r="I3" s="81">
        <v>9</v>
      </c>
      <c r="J3" s="81">
        <v>10</v>
      </c>
      <c r="K3" s="81">
        <v>12</v>
      </c>
      <c r="L3" s="88">
        <v>11</v>
      </c>
    </row>
    <row r="4" ht="25" customHeight="1" spans="1:14">
      <c r="A4" s="54" t="s">
        <v>31</v>
      </c>
      <c r="B4" s="85" t="s">
        <v>38</v>
      </c>
      <c r="C4" s="54" t="s">
        <v>66</v>
      </c>
      <c r="D4" s="45" t="s">
        <v>67</v>
      </c>
      <c r="E4" s="45">
        <v>25</v>
      </c>
      <c r="F4" s="45" t="s">
        <v>68</v>
      </c>
      <c r="G4" s="45" t="s">
        <v>69</v>
      </c>
      <c r="H4" s="56" t="s">
        <v>70</v>
      </c>
      <c r="I4" s="60">
        <v>44403</v>
      </c>
      <c r="J4" s="45">
        <v>1</v>
      </c>
      <c r="K4" s="45" t="s">
        <v>71</v>
      </c>
      <c r="L4" s="64">
        <f t="shared" ref="L4:L23" si="0">I4+28</f>
        <v>44431</v>
      </c>
      <c r="M4" s="54" t="s">
        <v>72</v>
      </c>
      <c r="N4" s="45">
        <f>L4-I4</f>
        <v>28</v>
      </c>
    </row>
    <row r="5" ht="25" customHeight="1" spans="1:14">
      <c r="A5" s="54" t="s">
        <v>31</v>
      </c>
      <c r="B5" s="85" t="s">
        <v>38</v>
      </c>
      <c r="C5" s="54" t="s">
        <v>66</v>
      </c>
      <c r="D5" s="45" t="s">
        <v>67</v>
      </c>
      <c r="E5" s="45">
        <v>25</v>
      </c>
      <c r="F5" s="45" t="s">
        <v>68</v>
      </c>
      <c r="G5" s="45" t="s">
        <v>69</v>
      </c>
      <c r="H5" s="56" t="s">
        <v>70</v>
      </c>
      <c r="I5" s="60">
        <v>44403</v>
      </c>
      <c r="J5" s="45">
        <v>1</v>
      </c>
      <c r="K5" s="45" t="s">
        <v>73</v>
      </c>
      <c r="L5" s="64">
        <f t="shared" si="0"/>
        <v>44431</v>
      </c>
      <c r="M5" s="54" t="s">
        <v>72</v>
      </c>
      <c r="N5" s="45">
        <f>L5-I5</f>
        <v>28</v>
      </c>
    </row>
    <row r="6" ht="25" customHeight="1" spans="1:14">
      <c r="A6" s="54" t="s">
        <v>31</v>
      </c>
      <c r="B6" s="85" t="s">
        <v>38</v>
      </c>
      <c r="C6" s="54" t="s">
        <v>66</v>
      </c>
      <c r="D6" s="45" t="s">
        <v>67</v>
      </c>
      <c r="E6" s="45">
        <v>25</v>
      </c>
      <c r="F6" s="45" t="s">
        <v>68</v>
      </c>
      <c r="G6" s="45" t="s">
        <v>69</v>
      </c>
      <c r="H6" s="56" t="s">
        <v>70</v>
      </c>
      <c r="I6" s="60">
        <v>44403</v>
      </c>
      <c r="J6" s="45">
        <v>1</v>
      </c>
      <c r="K6" s="45" t="s">
        <v>74</v>
      </c>
      <c r="L6" s="64">
        <f t="shared" si="0"/>
        <v>44431</v>
      </c>
      <c r="M6" s="54" t="s">
        <v>72</v>
      </c>
      <c r="N6" s="45">
        <f>L6-I6</f>
        <v>28</v>
      </c>
    </row>
    <row r="7" ht="25" customHeight="1" spans="1:14">
      <c r="A7" s="54" t="s">
        <v>31</v>
      </c>
      <c r="B7" s="85" t="s">
        <v>38</v>
      </c>
      <c r="C7" s="54" t="s">
        <v>66</v>
      </c>
      <c r="D7" s="45" t="s">
        <v>67</v>
      </c>
      <c r="E7" s="45">
        <v>25</v>
      </c>
      <c r="F7" s="45" t="s">
        <v>68</v>
      </c>
      <c r="G7" s="45" t="s">
        <v>75</v>
      </c>
      <c r="H7" s="56" t="s">
        <v>70</v>
      </c>
      <c r="I7" s="60">
        <v>44407</v>
      </c>
      <c r="J7" s="45">
        <v>1</v>
      </c>
      <c r="K7" s="45" t="s">
        <v>76</v>
      </c>
      <c r="L7" s="64">
        <f t="shared" si="0"/>
        <v>44435</v>
      </c>
      <c r="M7" s="54" t="s">
        <v>72</v>
      </c>
      <c r="N7" s="45">
        <f>L7-I7</f>
        <v>28</v>
      </c>
    </row>
    <row r="8" ht="25" customHeight="1" spans="1:14">
      <c r="A8" s="54" t="s">
        <v>31</v>
      </c>
      <c r="B8" s="85" t="s">
        <v>38</v>
      </c>
      <c r="C8" s="54" t="s">
        <v>66</v>
      </c>
      <c r="D8" s="45" t="s">
        <v>67</v>
      </c>
      <c r="E8" s="45">
        <v>25</v>
      </c>
      <c r="F8" s="45" t="s">
        <v>68</v>
      </c>
      <c r="G8" s="45" t="s">
        <v>77</v>
      </c>
      <c r="H8" s="56" t="s">
        <v>70</v>
      </c>
      <c r="I8" s="60">
        <v>44407</v>
      </c>
      <c r="J8" s="45">
        <v>1</v>
      </c>
      <c r="K8" s="45" t="s">
        <v>78</v>
      </c>
      <c r="L8" s="64">
        <f t="shared" si="0"/>
        <v>44435</v>
      </c>
      <c r="M8" s="54" t="s">
        <v>72</v>
      </c>
      <c r="N8" s="45">
        <f t="shared" ref="N8:N22" si="1">L8-I8</f>
        <v>28</v>
      </c>
    </row>
    <row r="9" ht="25" customHeight="1" spans="1:14">
      <c r="A9" s="54" t="s">
        <v>31</v>
      </c>
      <c r="B9" s="85" t="s">
        <v>38</v>
      </c>
      <c r="C9" s="54" t="s">
        <v>66</v>
      </c>
      <c r="D9" s="45" t="s">
        <v>67</v>
      </c>
      <c r="E9" s="45">
        <v>25</v>
      </c>
      <c r="F9" s="45" t="s">
        <v>68</v>
      </c>
      <c r="G9" s="45" t="s">
        <v>79</v>
      </c>
      <c r="H9" s="56" t="s">
        <v>70</v>
      </c>
      <c r="I9" s="60">
        <v>44407</v>
      </c>
      <c r="J9" s="45">
        <v>1</v>
      </c>
      <c r="K9" s="45" t="s">
        <v>80</v>
      </c>
      <c r="L9" s="64">
        <f t="shared" si="0"/>
        <v>44435</v>
      </c>
      <c r="M9" s="54" t="s">
        <v>72</v>
      </c>
      <c r="N9" s="45">
        <f t="shared" si="1"/>
        <v>28</v>
      </c>
    </row>
    <row r="10" ht="25" customHeight="1" spans="1:14">
      <c r="A10" s="54" t="s">
        <v>31</v>
      </c>
      <c r="B10" s="85" t="s">
        <v>38</v>
      </c>
      <c r="C10" s="54" t="s">
        <v>66</v>
      </c>
      <c r="D10" s="45" t="s">
        <v>67</v>
      </c>
      <c r="E10" s="45">
        <v>25</v>
      </c>
      <c r="F10" s="45" t="s">
        <v>68</v>
      </c>
      <c r="G10" s="45" t="s">
        <v>81</v>
      </c>
      <c r="H10" s="56" t="s">
        <v>70</v>
      </c>
      <c r="I10" s="60">
        <v>44408</v>
      </c>
      <c r="J10" s="45">
        <v>1</v>
      </c>
      <c r="K10" s="45" t="s">
        <v>82</v>
      </c>
      <c r="L10" s="64">
        <f t="shared" si="0"/>
        <v>44436</v>
      </c>
      <c r="M10" s="54" t="s">
        <v>72</v>
      </c>
      <c r="N10" s="45">
        <f t="shared" si="1"/>
        <v>28</v>
      </c>
    </row>
    <row r="11" ht="25" customHeight="1" spans="1:14">
      <c r="A11" s="54" t="s">
        <v>31</v>
      </c>
      <c r="B11" s="85" t="s">
        <v>38</v>
      </c>
      <c r="C11" s="54" t="s">
        <v>66</v>
      </c>
      <c r="D11" s="45" t="s">
        <v>67</v>
      </c>
      <c r="E11" s="45">
        <v>25</v>
      </c>
      <c r="F11" s="45" t="s">
        <v>68</v>
      </c>
      <c r="G11" s="45" t="s">
        <v>83</v>
      </c>
      <c r="H11" s="56" t="s">
        <v>70</v>
      </c>
      <c r="I11" s="60">
        <v>44408</v>
      </c>
      <c r="J11" s="45">
        <v>1</v>
      </c>
      <c r="K11" s="45" t="s">
        <v>84</v>
      </c>
      <c r="L11" s="64">
        <f t="shared" si="0"/>
        <v>44436</v>
      </c>
      <c r="M11" s="54" t="s">
        <v>72</v>
      </c>
      <c r="N11" s="45">
        <f t="shared" si="1"/>
        <v>28</v>
      </c>
    </row>
    <row r="12" ht="25" customHeight="1" spans="1:14">
      <c r="A12" s="54" t="s">
        <v>31</v>
      </c>
      <c r="B12" s="85" t="s">
        <v>38</v>
      </c>
      <c r="C12" s="54" t="s">
        <v>66</v>
      </c>
      <c r="D12" s="45" t="s">
        <v>67</v>
      </c>
      <c r="E12" s="45">
        <v>25</v>
      </c>
      <c r="F12" s="45" t="s">
        <v>68</v>
      </c>
      <c r="G12" s="45" t="s">
        <v>85</v>
      </c>
      <c r="H12" s="56" t="s">
        <v>70</v>
      </c>
      <c r="I12" s="60">
        <v>44409</v>
      </c>
      <c r="J12" s="45">
        <v>1</v>
      </c>
      <c r="K12" s="45" t="s">
        <v>86</v>
      </c>
      <c r="L12" s="64">
        <f t="shared" si="0"/>
        <v>44437</v>
      </c>
      <c r="M12" s="54" t="s">
        <v>72</v>
      </c>
      <c r="N12" s="45">
        <f t="shared" si="1"/>
        <v>28</v>
      </c>
    </row>
    <row r="13" ht="25" customHeight="1" spans="1:14">
      <c r="A13" s="54" t="s">
        <v>31</v>
      </c>
      <c r="B13" s="85" t="s">
        <v>38</v>
      </c>
      <c r="C13" s="54" t="s">
        <v>66</v>
      </c>
      <c r="D13" s="45" t="s">
        <v>67</v>
      </c>
      <c r="E13" s="45">
        <v>25</v>
      </c>
      <c r="F13" s="45" t="s">
        <v>68</v>
      </c>
      <c r="G13" s="45" t="s">
        <v>87</v>
      </c>
      <c r="H13" s="56" t="s">
        <v>70</v>
      </c>
      <c r="I13" s="60">
        <v>44409</v>
      </c>
      <c r="J13" s="45">
        <v>1</v>
      </c>
      <c r="K13" s="45" t="s">
        <v>88</v>
      </c>
      <c r="L13" s="64">
        <f t="shared" si="0"/>
        <v>44437</v>
      </c>
      <c r="M13" s="54" t="s">
        <v>72</v>
      </c>
      <c r="N13" s="45">
        <f t="shared" si="1"/>
        <v>28</v>
      </c>
    </row>
    <row r="14" ht="14.25" spans="1:15">
      <c r="A14" s="54" t="s">
        <v>37</v>
      </c>
      <c r="B14" s="54" t="s">
        <v>44</v>
      </c>
      <c r="C14" s="54" t="s">
        <v>89</v>
      </c>
      <c r="D14" s="45" t="s">
        <v>67</v>
      </c>
      <c r="E14" s="45">
        <v>25</v>
      </c>
      <c r="F14" s="45" t="s">
        <v>68</v>
      </c>
      <c r="G14" s="55" t="s">
        <v>90</v>
      </c>
      <c r="H14" s="55" t="s">
        <v>91</v>
      </c>
      <c r="I14" s="63">
        <f t="shared" ref="I14:I18" si="2">L14-28</f>
        <v>44027</v>
      </c>
      <c r="J14" s="45">
        <v>1</v>
      </c>
      <c r="K14" s="45" t="s">
        <v>92</v>
      </c>
      <c r="L14" s="63">
        <v>44055</v>
      </c>
      <c r="M14" s="45" t="s">
        <v>72</v>
      </c>
      <c r="N14" s="45">
        <f t="shared" si="1"/>
        <v>28</v>
      </c>
      <c r="O14" s="89"/>
    </row>
    <row r="15" ht="14.25" spans="1:15">
      <c r="A15" s="54" t="s">
        <v>37</v>
      </c>
      <c r="B15" s="54" t="s">
        <v>44</v>
      </c>
      <c r="C15" s="54" t="s">
        <v>89</v>
      </c>
      <c r="D15" s="45" t="s">
        <v>67</v>
      </c>
      <c r="E15" s="45">
        <v>25</v>
      </c>
      <c r="F15" s="45" t="s">
        <v>68</v>
      </c>
      <c r="G15" s="55" t="s">
        <v>93</v>
      </c>
      <c r="H15" s="55" t="s">
        <v>94</v>
      </c>
      <c r="I15" s="63">
        <f t="shared" si="2"/>
        <v>44009</v>
      </c>
      <c r="J15" s="45">
        <v>1</v>
      </c>
      <c r="K15" s="45" t="s">
        <v>95</v>
      </c>
      <c r="L15" s="63">
        <v>44037</v>
      </c>
      <c r="M15" s="45" t="s">
        <v>72</v>
      </c>
      <c r="N15" s="45">
        <f t="shared" si="1"/>
        <v>28</v>
      </c>
      <c r="O15" s="89"/>
    </row>
    <row r="16" ht="14.25" spans="1:15">
      <c r="A16" s="54" t="s">
        <v>37</v>
      </c>
      <c r="B16" s="54" t="s">
        <v>44</v>
      </c>
      <c r="C16" s="54" t="s">
        <v>89</v>
      </c>
      <c r="D16" s="45" t="s">
        <v>67</v>
      </c>
      <c r="E16" s="45">
        <v>25</v>
      </c>
      <c r="F16" s="45" t="s">
        <v>68</v>
      </c>
      <c r="G16" s="55" t="s">
        <v>96</v>
      </c>
      <c r="H16" s="55" t="s">
        <v>97</v>
      </c>
      <c r="I16" s="63">
        <f t="shared" si="2"/>
        <v>44062</v>
      </c>
      <c r="J16" s="45">
        <v>1</v>
      </c>
      <c r="K16" s="45" t="s">
        <v>98</v>
      </c>
      <c r="L16" s="63">
        <v>44090</v>
      </c>
      <c r="M16" s="45" t="s">
        <v>72</v>
      </c>
      <c r="N16" s="45">
        <f t="shared" si="1"/>
        <v>28</v>
      </c>
      <c r="O16" s="89"/>
    </row>
    <row r="17" ht="14.25" spans="1:15">
      <c r="A17" s="54" t="s">
        <v>37</v>
      </c>
      <c r="B17" s="54" t="s">
        <v>44</v>
      </c>
      <c r="C17" s="54" t="s">
        <v>89</v>
      </c>
      <c r="D17" s="45" t="s">
        <v>67</v>
      </c>
      <c r="E17" s="45">
        <v>25</v>
      </c>
      <c r="F17" s="45" t="s">
        <v>68</v>
      </c>
      <c r="G17" s="55" t="s">
        <v>99</v>
      </c>
      <c r="H17" s="55" t="s">
        <v>100</v>
      </c>
      <c r="I17" s="63">
        <f t="shared" si="2"/>
        <v>44104</v>
      </c>
      <c r="J17" s="45">
        <v>1</v>
      </c>
      <c r="K17" s="45" t="s">
        <v>101</v>
      </c>
      <c r="L17" s="63">
        <v>44132</v>
      </c>
      <c r="M17" s="45" t="s">
        <v>72</v>
      </c>
      <c r="N17" s="45">
        <f t="shared" si="1"/>
        <v>28</v>
      </c>
      <c r="O17" s="89"/>
    </row>
    <row r="18" ht="14.25" spans="1:15">
      <c r="A18" s="54" t="s">
        <v>37</v>
      </c>
      <c r="B18" s="54" t="s">
        <v>44</v>
      </c>
      <c r="C18" s="54" t="s">
        <v>89</v>
      </c>
      <c r="D18" s="45" t="s">
        <v>67</v>
      </c>
      <c r="E18" s="45">
        <v>25</v>
      </c>
      <c r="F18" s="45" t="s">
        <v>68</v>
      </c>
      <c r="G18" s="55" t="s">
        <v>102</v>
      </c>
      <c r="H18" s="55" t="s">
        <v>103</v>
      </c>
      <c r="I18" s="63">
        <f t="shared" si="2"/>
        <v>44140</v>
      </c>
      <c r="J18" s="45">
        <v>1</v>
      </c>
      <c r="K18" s="45" t="s">
        <v>104</v>
      </c>
      <c r="L18" s="63">
        <v>44168</v>
      </c>
      <c r="M18" s="45" t="s">
        <v>72</v>
      </c>
      <c r="N18" s="45">
        <f t="shared" si="1"/>
        <v>28</v>
      </c>
      <c r="O18" s="89"/>
    </row>
    <row r="19" ht="21" customHeight="1" spans="1:14">
      <c r="A19" s="54" t="s">
        <v>49</v>
      </c>
      <c r="B19" t="s">
        <v>50</v>
      </c>
      <c r="C19" s="54" t="s">
        <v>89</v>
      </c>
      <c r="D19" s="45" t="s">
        <v>67</v>
      </c>
      <c r="E19" s="45">
        <v>25</v>
      </c>
      <c r="F19" s="45" t="s">
        <v>68</v>
      </c>
      <c r="G19" t="s">
        <v>105</v>
      </c>
      <c r="H19" s="55" t="s">
        <v>106</v>
      </c>
      <c r="I19" s="60">
        <v>44367</v>
      </c>
      <c r="J19" s="45">
        <v>1</v>
      </c>
      <c r="K19" s="45" t="s">
        <v>107</v>
      </c>
      <c r="L19" s="61">
        <v>44395</v>
      </c>
      <c r="M19" s="45" t="s">
        <v>72</v>
      </c>
      <c r="N19" s="45">
        <f>L19-I19</f>
        <v>28</v>
      </c>
    </row>
    <row r="20" ht="21" customHeight="1" spans="1:14">
      <c r="A20" s="54" t="s">
        <v>49</v>
      </c>
      <c r="B20" t="s">
        <v>50</v>
      </c>
      <c r="C20" s="54" t="s">
        <v>89</v>
      </c>
      <c r="D20" s="45" t="s">
        <v>67</v>
      </c>
      <c r="E20" s="45">
        <v>25</v>
      </c>
      <c r="F20" s="45" t="s">
        <v>68</v>
      </c>
      <c r="G20" t="s">
        <v>108</v>
      </c>
      <c r="H20" s="55" t="s">
        <v>106</v>
      </c>
      <c r="I20" s="60">
        <v>44390</v>
      </c>
      <c r="J20" s="45">
        <v>1</v>
      </c>
      <c r="K20" s="45" t="s">
        <v>109</v>
      </c>
      <c r="L20" s="61">
        <v>44418</v>
      </c>
      <c r="M20" s="45" t="s">
        <v>72</v>
      </c>
      <c r="N20" s="45">
        <f>L20-I20</f>
        <v>28</v>
      </c>
    </row>
    <row r="21" ht="21" customHeight="1" spans="1:14">
      <c r="A21" s="54" t="s">
        <v>49</v>
      </c>
      <c r="B21" t="s">
        <v>50</v>
      </c>
      <c r="C21" s="54" t="s">
        <v>89</v>
      </c>
      <c r="D21" s="45" t="s">
        <v>67</v>
      </c>
      <c r="E21" s="45">
        <v>25</v>
      </c>
      <c r="F21" s="45" t="s">
        <v>68</v>
      </c>
      <c r="G21" t="s">
        <v>110</v>
      </c>
      <c r="H21" s="55" t="s">
        <v>106</v>
      </c>
      <c r="I21" s="60">
        <v>44401</v>
      </c>
      <c r="J21" s="45">
        <v>1</v>
      </c>
      <c r="K21" s="45" t="s">
        <v>111</v>
      </c>
      <c r="L21" s="61">
        <v>44429</v>
      </c>
      <c r="M21" s="45" t="s">
        <v>72</v>
      </c>
      <c r="N21" s="45">
        <f>L21-I21</f>
        <v>28</v>
      </c>
    </row>
    <row r="22" ht="21" customHeight="1" spans="1:14">
      <c r="A22" s="54" t="s">
        <v>49</v>
      </c>
      <c r="B22" t="s">
        <v>50</v>
      </c>
      <c r="C22" s="54" t="s">
        <v>89</v>
      </c>
      <c r="D22" s="45" t="s">
        <v>67</v>
      </c>
      <c r="E22" s="45">
        <v>25</v>
      </c>
      <c r="F22" s="45" t="s">
        <v>68</v>
      </c>
      <c r="G22" t="s">
        <v>112</v>
      </c>
      <c r="H22" s="55" t="s">
        <v>106</v>
      </c>
      <c r="I22" s="60">
        <v>44420</v>
      </c>
      <c r="J22" s="45">
        <v>1</v>
      </c>
      <c r="K22" s="45" t="s">
        <v>113</v>
      </c>
      <c r="L22" s="61">
        <v>44448</v>
      </c>
      <c r="M22" s="45" t="s">
        <v>72</v>
      </c>
      <c r="N22" s="45">
        <f>L22-I22</f>
        <v>28</v>
      </c>
    </row>
    <row r="23" ht="14.25" spans="8:8">
      <c r="H23" s="55"/>
    </row>
    <row r="24" spans="8:8">
      <c r="H24" s="56"/>
    </row>
    <row r="25" spans="8:8">
      <c r="H25" s="56"/>
    </row>
    <row r="26" spans="8:8">
      <c r="H26" s="56"/>
    </row>
    <row r="27" spans="8:8">
      <c r="H27" s="56"/>
    </row>
    <row r="28" spans="8:8">
      <c r="H28" s="56"/>
    </row>
    <row r="29" spans="8:8">
      <c r="H29" s="56"/>
    </row>
    <row r="30" spans="8:8">
      <c r="H30" s="56"/>
    </row>
    <row r="31" spans="8:8">
      <c r="H31" s="56"/>
    </row>
    <row r="32" spans="8:8">
      <c r="H32" s="56"/>
    </row>
  </sheetData>
  <sortState ref="A19:O22">
    <sortCondition ref="L19:L22"/>
  </sortState>
  <mergeCells count="1">
    <mergeCell ref="A1:L1"/>
  </mergeCells>
  <dataValidations count="3">
    <dataValidation type="list" allowBlank="1" showInputMessage="1" showErrorMessage="1" sqref="C4 C5 C6 C7 C8 C9 C10 C11 C12 C13 C14:C18 C19:C22">
      <formula1>"商品砼,自拌砼"</formula1>
    </dataValidation>
    <dataValidation type="list" allowBlank="1" showInputMessage="1" showErrorMessage="1" sqref="F4 F5 F6 F7 F8 F9 F10 F11 F12 F13 F14:F18 F19:F22">
      <formula1>"100×100×100,150×150×150,200×200×200"</formula1>
    </dataValidation>
    <dataValidation type="list" allowBlank="1" showInputMessage="1" showErrorMessage="1" sqref="M4 M5:M13">
      <formula1>"委托方自行标养,标准养护,同条件养护,非标准养护"</formula1>
    </dataValidation>
  </dataValidations>
  <pageMargins left="0.7" right="0.7" top="0.75" bottom="0.75" header="0.3" footer="0.3"/>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J104"/>
  <sheetViews>
    <sheetView view="pageBreakPreview" zoomScale="85" zoomScaleNormal="100" workbookViewId="0">
      <pane xSplit="4" ySplit="8" topLeftCell="E9" activePane="bottomRight" state="frozen"/>
      <selection/>
      <selection pane="topRight"/>
      <selection pane="bottomLeft"/>
      <selection pane="bottomRight" activeCell="J18" sqref="J18"/>
    </sheetView>
  </sheetViews>
  <sheetFormatPr defaultColWidth="9" defaultRowHeight="13.5"/>
  <cols>
    <col min="2" max="2" width="22" customWidth="1"/>
    <col min="3" max="3" width="12.5" style="42" customWidth="1"/>
    <col min="4" max="4" width="13.125" style="42" customWidth="1"/>
    <col min="5" max="5" width="14.875" style="42" customWidth="1"/>
    <col min="6" max="6" width="18.875" style="42" customWidth="1"/>
    <col min="7" max="7" width="23.2333333333333" style="1" customWidth="1"/>
    <col min="8" max="8" width="9" style="42"/>
    <col min="9" max="9" width="10.375" style="42"/>
    <col min="10" max="10" width="9" style="42"/>
    <col min="11" max="11" width="18.375" style="1" customWidth="1"/>
    <col min="12" max="12" width="10.2916666666667" style="42" customWidth="1"/>
    <col min="13" max="13" width="12.6416666666667" style="42" customWidth="1"/>
    <col min="14" max="14" width="13.8166666666667" style="43" customWidth="1"/>
    <col min="15" max="15" width="15.125" style="44" customWidth="1"/>
    <col min="16" max="17" width="9" style="45"/>
    <col min="18" max="20" width="9" style="46"/>
    <col min="21" max="21" width="12.625" style="47"/>
    <col min="22" max="28" width="8.81666666666667" customWidth="1"/>
    <col min="29" max="36" width="8.81666666666667" style="45" customWidth="1"/>
  </cols>
  <sheetData>
    <row r="1" ht="27" customHeight="1" spans="1:28">
      <c r="A1" s="48" t="s">
        <v>50</v>
      </c>
      <c r="B1" s="48"/>
      <c r="C1" s="49"/>
      <c r="D1" s="49"/>
      <c r="E1" s="49"/>
      <c r="F1" s="49"/>
      <c r="G1" s="49"/>
      <c r="H1" s="49"/>
      <c r="I1" s="49"/>
      <c r="J1" s="49"/>
      <c r="K1" s="49"/>
      <c r="V1" s="67" t="s">
        <v>114</v>
      </c>
      <c r="W1" s="67" t="s">
        <v>115</v>
      </c>
      <c r="X1" s="67"/>
      <c r="Y1" s="67"/>
      <c r="Z1" s="67"/>
      <c r="AA1" s="67"/>
      <c r="AB1" s="67"/>
    </row>
    <row r="2" ht="25" customHeight="1" spans="1:28">
      <c r="A2" s="50" t="s">
        <v>3</v>
      </c>
      <c r="B2" s="45" t="s">
        <v>51</v>
      </c>
      <c r="C2" s="1"/>
      <c r="D2" s="1"/>
      <c r="E2" s="1"/>
      <c r="F2" s="1"/>
      <c r="H2" s="1"/>
      <c r="I2" s="1"/>
      <c r="J2" s="1"/>
      <c r="L2" s="1" t="s">
        <v>116</v>
      </c>
      <c r="M2" s="58" t="s">
        <v>48</v>
      </c>
      <c r="O2" s="59"/>
      <c r="V2" s="67"/>
      <c r="W2" s="68" t="s">
        <v>117</v>
      </c>
      <c r="X2" s="68"/>
      <c r="Y2" s="68" t="s">
        <v>118</v>
      </c>
      <c r="Z2" s="68"/>
      <c r="AA2" s="68" t="s">
        <v>119</v>
      </c>
      <c r="AB2" s="68"/>
    </row>
    <row r="3" ht="25" customHeight="1" spans="1:28">
      <c r="A3" s="50" t="s">
        <v>4</v>
      </c>
      <c r="B3" s="45" t="s">
        <v>51</v>
      </c>
      <c r="C3" s="1"/>
      <c r="D3" s="1"/>
      <c r="E3" s="1"/>
      <c r="F3" s="1"/>
      <c r="H3" s="1"/>
      <c r="I3" s="1"/>
      <c r="J3" s="1"/>
      <c r="V3" s="67"/>
      <c r="W3" s="68"/>
      <c r="X3" s="68"/>
      <c r="Y3" s="68"/>
      <c r="Z3" s="68"/>
      <c r="AA3" s="68"/>
      <c r="AB3" s="68"/>
    </row>
    <row r="4" ht="25" customHeight="1" spans="1:28">
      <c r="A4" s="50" t="s">
        <v>5</v>
      </c>
      <c r="B4" s="45" t="s">
        <v>46</v>
      </c>
      <c r="C4" s="1"/>
      <c r="D4" s="1"/>
      <c r="E4" s="1"/>
      <c r="F4" s="1"/>
      <c r="H4" s="1"/>
      <c r="I4" s="1"/>
      <c r="J4" s="1"/>
      <c r="V4" s="67"/>
      <c r="W4" s="69" t="s">
        <v>120</v>
      </c>
      <c r="X4" s="69">
        <f>100*100</f>
        <v>10000</v>
      </c>
      <c r="Y4" s="69" t="s">
        <v>120</v>
      </c>
      <c r="Z4" s="69">
        <f>150*150</f>
        <v>22500</v>
      </c>
      <c r="AA4" s="69" t="s">
        <v>120</v>
      </c>
      <c r="AB4" s="69">
        <f>200*200</f>
        <v>40000</v>
      </c>
    </row>
    <row r="5" ht="25" customHeight="1" spans="1:28">
      <c r="A5" s="50" t="s">
        <v>6</v>
      </c>
      <c r="B5" s="45" t="s">
        <v>46</v>
      </c>
      <c r="C5" s="1"/>
      <c r="D5" s="1"/>
      <c r="E5" s="51" t="s">
        <v>7</v>
      </c>
      <c r="F5" s="1" t="s">
        <v>46</v>
      </c>
      <c r="H5" s="1"/>
      <c r="I5" s="1"/>
      <c r="J5" s="1"/>
      <c r="V5" s="67"/>
      <c r="W5" s="68" t="s">
        <v>121</v>
      </c>
      <c r="X5" s="68">
        <v>0.95</v>
      </c>
      <c r="Y5" s="68" t="s">
        <v>121</v>
      </c>
      <c r="Z5" s="67">
        <v>1</v>
      </c>
      <c r="AA5" s="68" t="s">
        <v>121</v>
      </c>
      <c r="AB5" s="67">
        <v>1.05</v>
      </c>
    </row>
    <row r="6" ht="25" customHeight="1" spans="1:36">
      <c r="A6" s="50" t="s">
        <v>8</v>
      </c>
      <c r="B6" s="45" t="s">
        <v>52</v>
      </c>
      <c r="C6" s="1"/>
      <c r="D6" s="1"/>
      <c r="E6" s="51" t="s">
        <v>9</v>
      </c>
      <c r="F6" s="1"/>
      <c r="H6" s="1"/>
      <c r="I6" s="1"/>
      <c r="J6" s="1"/>
      <c r="V6" s="67"/>
      <c r="W6" s="68" t="s">
        <v>122</v>
      </c>
      <c r="X6" s="68" t="s">
        <v>123</v>
      </c>
      <c r="Y6" s="68" t="s">
        <v>122</v>
      </c>
      <c r="Z6" s="68" t="s">
        <v>123</v>
      </c>
      <c r="AA6" s="68" t="s">
        <v>122</v>
      </c>
      <c r="AB6" s="68" t="s">
        <v>123</v>
      </c>
      <c r="AC6" s="73" t="s">
        <v>124</v>
      </c>
      <c r="AD6" s="74"/>
      <c r="AE6" s="75" t="s">
        <v>117</v>
      </c>
      <c r="AF6" s="75"/>
      <c r="AG6" s="75" t="s">
        <v>118</v>
      </c>
      <c r="AH6" s="75"/>
      <c r="AI6" s="75" t="s">
        <v>119</v>
      </c>
      <c r="AJ6" s="75"/>
    </row>
    <row r="7" ht="25" customHeight="1" spans="1:36">
      <c r="A7" s="45" t="s">
        <v>125</v>
      </c>
      <c r="B7" s="50" t="s">
        <v>126</v>
      </c>
      <c r="C7" s="52" t="s">
        <v>127</v>
      </c>
      <c r="D7" s="52"/>
      <c r="E7" s="52"/>
      <c r="F7" s="52"/>
      <c r="G7" s="52"/>
      <c r="H7" s="52"/>
      <c r="I7" s="52"/>
      <c r="J7" s="52"/>
      <c r="K7" s="52"/>
      <c r="L7" s="1" t="s">
        <v>64</v>
      </c>
      <c r="M7" s="1" t="s">
        <v>65</v>
      </c>
      <c r="N7" s="58" t="s">
        <v>128</v>
      </c>
      <c r="O7" s="59" t="s">
        <v>129</v>
      </c>
      <c r="P7" s="1" t="s">
        <v>121</v>
      </c>
      <c r="Q7" s="1" t="s">
        <v>130</v>
      </c>
      <c r="R7" s="46" t="s">
        <v>115</v>
      </c>
      <c r="U7" s="70" t="s">
        <v>131</v>
      </c>
      <c r="V7" s="67" t="s">
        <v>132</v>
      </c>
      <c r="W7" s="67">
        <v>150</v>
      </c>
      <c r="X7" s="67">
        <v>230.5</v>
      </c>
      <c r="Y7" s="67">
        <v>320.5</v>
      </c>
      <c r="Z7" s="67">
        <v>490</v>
      </c>
      <c r="AA7" s="67">
        <v>541.4</v>
      </c>
      <c r="AB7" s="67">
        <v>831.9</v>
      </c>
      <c r="AC7" s="74">
        <v>15</v>
      </c>
      <c r="AD7" s="67">
        <v>20</v>
      </c>
      <c r="AE7" s="76">
        <f>W7*1000/$X$4*$X$5</f>
        <v>14.25</v>
      </c>
      <c r="AF7" s="76">
        <f>X7*1000/$X$4*$X$5</f>
        <v>21.8975</v>
      </c>
      <c r="AG7" s="76">
        <f>Y7*1000/$Z$4*$Z$5</f>
        <v>14.2444444444444</v>
      </c>
      <c r="AH7" s="76">
        <f>Z7*1000/$Z$4*$Z$5</f>
        <v>21.7777777777778</v>
      </c>
      <c r="AI7" s="76">
        <f>AA7*1000/$AB$4*$AB$5</f>
        <v>14.21175</v>
      </c>
      <c r="AJ7" s="76">
        <f>AB7*1000/$AB$4*$AB$5</f>
        <v>21.837375</v>
      </c>
    </row>
    <row r="8" ht="25" customHeight="1" spans="1:36">
      <c r="A8" s="45"/>
      <c r="B8" s="50"/>
      <c r="C8" s="53" t="s">
        <v>55</v>
      </c>
      <c r="D8" s="52" t="s">
        <v>133</v>
      </c>
      <c r="E8" s="53" t="s">
        <v>57</v>
      </c>
      <c r="F8" s="53" t="s">
        <v>134</v>
      </c>
      <c r="G8" s="52" t="s">
        <v>135</v>
      </c>
      <c r="H8" s="52" t="s">
        <v>60</v>
      </c>
      <c r="I8" s="52" t="s">
        <v>61</v>
      </c>
      <c r="J8" s="52" t="s">
        <v>136</v>
      </c>
      <c r="K8" s="52" t="s">
        <v>63</v>
      </c>
      <c r="L8" s="1"/>
      <c r="M8" s="1"/>
      <c r="N8" s="58"/>
      <c r="O8" s="59"/>
      <c r="P8" s="1"/>
      <c r="Q8" s="1"/>
      <c r="R8" s="46">
        <v>1</v>
      </c>
      <c r="S8" s="46">
        <v>2</v>
      </c>
      <c r="T8" s="46">
        <v>3</v>
      </c>
      <c r="V8" s="67" t="s">
        <v>137</v>
      </c>
      <c r="W8" s="67">
        <v>200</v>
      </c>
      <c r="X8" s="67">
        <v>273</v>
      </c>
      <c r="Y8" s="67">
        <v>430</v>
      </c>
      <c r="Z8" s="67">
        <v>580</v>
      </c>
      <c r="AA8" s="67">
        <v>740</v>
      </c>
      <c r="AB8" s="67">
        <v>980</v>
      </c>
      <c r="AC8" s="74">
        <v>20</v>
      </c>
      <c r="AD8" s="67">
        <v>25</v>
      </c>
      <c r="AE8" s="76">
        <f>W8*1000/$X$4*$X$5</f>
        <v>19</v>
      </c>
      <c r="AF8" s="76">
        <f>X8*1000/$X$4*$X$5</f>
        <v>25.935</v>
      </c>
      <c r="AG8" s="76">
        <f>Y8*1000/$Z$4*$Z$5</f>
        <v>19.1111111111111</v>
      </c>
      <c r="AH8" s="76">
        <f>Z8*1000/$Z$4*$Z$5</f>
        <v>25.7777777777778</v>
      </c>
      <c r="AI8" s="76">
        <f>AA8*1000/$AB$4*$AB$5</f>
        <v>19.425</v>
      </c>
      <c r="AJ8" s="76">
        <f>AB8*1000/$AB$4*$AB$5</f>
        <v>25.725</v>
      </c>
    </row>
    <row r="9" s="41" customFormat="1" ht="25" customHeight="1" spans="1:36">
      <c r="A9" s="52">
        <v>1</v>
      </c>
      <c r="B9" s="50" t="s">
        <v>138</v>
      </c>
      <c r="C9" s="54" t="s">
        <v>89</v>
      </c>
      <c r="D9" s="45" t="s">
        <v>67</v>
      </c>
      <c r="E9" s="45">
        <v>25</v>
      </c>
      <c r="F9" s="45" t="s">
        <v>68</v>
      </c>
      <c r="G9" t="s">
        <v>112</v>
      </c>
      <c r="H9" s="55" t="s">
        <v>106</v>
      </c>
      <c r="I9" s="60">
        <v>44420</v>
      </c>
      <c r="J9" s="45">
        <v>1</v>
      </c>
      <c r="K9" s="45" t="s">
        <v>113</v>
      </c>
      <c r="L9" s="61">
        <v>44448</v>
      </c>
      <c r="M9" s="45" t="s">
        <v>72</v>
      </c>
      <c r="N9" s="58">
        <v>44448</v>
      </c>
      <c r="O9" s="62">
        <v>44450</v>
      </c>
      <c r="P9" s="1">
        <v>0.95</v>
      </c>
      <c r="Q9" s="1">
        <v>10000</v>
      </c>
      <c r="R9" s="46">
        <v>354.7</v>
      </c>
      <c r="S9" s="46">
        <v>322.6</v>
      </c>
      <c r="T9" s="46">
        <v>337.9</v>
      </c>
      <c r="U9" s="71">
        <v>32.1</v>
      </c>
      <c r="V9" s="67" t="s">
        <v>139</v>
      </c>
      <c r="W9" s="67">
        <v>250</v>
      </c>
      <c r="X9" s="67">
        <v>330</v>
      </c>
      <c r="Y9" s="67">
        <v>550</v>
      </c>
      <c r="Z9" s="67">
        <v>690</v>
      </c>
      <c r="AA9" s="67">
        <v>930</v>
      </c>
      <c r="AB9" s="67">
        <v>1170</v>
      </c>
      <c r="AC9" s="77">
        <v>25</v>
      </c>
      <c r="AD9" s="78">
        <v>30</v>
      </c>
      <c r="AE9" s="76">
        <f>W9*1000/$X$4*$X$5</f>
        <v>23.75</v>
      </c>
      <c r="AF9" s="76">
        <f>X9*1000/$X$4*$X$5</f>
        <v>31.35</v>
      </c>
      <c r="AG9" s="76">
        <f>Y9*1000/$Z$4*$Z$5</f>
        <v>24.4444444444444</v>
      </c>
      <c r="AH9" s="76">
        <f>Z9*1000/$Z$4*$Z$5</f>
        <v>30.6666666666667</v>
      </c>
      <c r="AI9" s="76">
        <f>AA9*1000/$AB$4*$AB$5</f>
        <v>24.4125</v>
      </c>
      <c r="AJ9" s="76">
        <f>AB9*1000/$AB$4*$AB$5</f>
        <v>30.7125</v>
      </c>
    </row>
    <row r="10" s="41" customFormat="1" ht="25" customHeight="1" spans="1:36">
      <c r="A10" s="52">
        <v>2</v>
      </c>
      <c r="B10" s="50" t="s">
        <v>138</v>
      </c>
      <c r="C10" s="54" t="s">
        <v>89</v>
      </c>
      <c r="D10" s="45" t="s">
        <v>67</v>
      </c>
      <c r="E10" s="45">
        <v>25</v>
      </c>
      <c r="F10" s="45" t="s">
        <v>68</v>
      </c>
      <c r="G10" t="s">
        <v>110</v>
      </c>
      <c r="H10" s="55" t="s">
        <v>106</v>
      </c>
      <c r="I10" s="60">
        <v>44401</v>
      </c>
      <c r="J10" s="45">
        <v>1</v>
      </c>
      <c r="K10" s="45" t="s">
        <v>111</v>
      </c>
      <c r="L10" s="61">
        <v>44429</v>
      </c>
      <c r="M10" s="45" t="s">
        <v>72</v>
      </c>
      <c r="N10" s="58">
        <v>44429</v>
      </c>
      <c r="O10" s="62">
        <v>44431</v>
      </c>
      <c r="P10" s="1">
        <v>0.95</v>
      </c>
      <c r="Q10" s="1">
        <v>10000</v>
      </c>
      <c r="R10" s="46">
        <v>366.8</v>
      </c>
      <c r="S10" s="46">
        <v>373.1</v>
      </c>
      <c r="T10" s="46">
        <v>348.5</v>
      </c>
      <c r="U10" s="71">
        <v>34.5</v>
      </c>
      <c r="V10" s="67" t="s">
        <v>67</v>
      </c>
      <c r="W10" s="67">
        <v>310</v>
      </c>
      <c r="X10" s="67">
        <v>380</v>
      </c>
      <c r="Y10" s="67">
        <v>650</v>
      </c>
      <c r="Z10" s="67">
        <v>800</v>
      </c>
      <c r="AA10" s="67">
        <v>1100</v>
      </c>
      <c r="AB10" s="67">
        <v>1360</v>
      </c>
      <c r="AC10" s="77">
        <v>30</v>
      </c>
      <c r="AD10" s="78">
        <v>35</v>
      </c>
      <c r="AE10" s="76">
        <f>W10*1000/$X$4*$X$5</f>
        <v>29.45</v>
      </c>
      <c r="AF10" s="76">
        <f>X10*1000/$X$4*$X$5</f>
        <v>36.1</v>
      </c>
      <c r="AG10" s="76">
        <f>Y10*1000/$Z$4*$Z$5</f>
        <v>28.8888888888889</v>
      </c>
      <c r="AH10" s="76">
        <f>Z10*1000/$Z$4*$Z$5</f>
        <v>35.5555555555556</v>
      </c>
      <c r="AI10" s="76">
        <f>AA10*1000/$AB$4*$AB$5</f>
        <v>28.875</v>
      </c>
      <c r="AJ10" s="76">
        <f>AB10*1000/$AB$4*$AB$5</f>
        <v>35.7</v>
      </c>
    </row>
    <row r="11" s="41" customFormat="1" ht="25" customHeight="1" spans="1:36">
      <c r="A11" s="52">
        <v>3</v>
      </c>
      <c r="B11" s="50" t="s">
        <v>138</v>
      </c>
      <c r="C11" s="54" t="s">
        <v>89</v>
      </c>
      <c r="D11" s="45" t="s">
        <v>67</v>
      </c>
      <c r="E11" s="45">
        <v>25</v>
      </c>
      <c r="F11" s="45" t="s">
        <v>68</v>
      </c>
      <c r="G11" t="s">
        <v>108</v>
      </c>
      <c r="H11" s="55" t="s">
        <v>106</v>
      </c>
      <c r="I11" s="60">
        <v>44390</v>
      </c>
      <c r="J11" s="45">
        <v>1</v>
      </c>
      <c r="K11" s="45" t="s">
        <v>109</v>
      </c>
      <c r="L11" s="61">
        <v>44418</v>
      </c>
      <c r="M11" s="45" t="s">
        <v>72</v>
      </c>
      <c r="N11" s="58">
        <v>44418</v>
      </c>
      <c r="O11" s="62">
        <v>44420</v>
      </c>
      <c r="P11" s="1">
        <v>0.95</v>
      </c>
      <c r="Q11" s="1">
        <v>10000</v>
      </c>
      <c r="R11" s="46">
        <v>350.8</v>
      </c>
      <c r="S11" s="46">
        <v>320.2</v>
      </c>
      <c r="T11" s="46">
        <v>319.9</v>
      </c>
      <c r="U11" s="71">
        <v>31.4</v>
      </c>
      <c r="V11" s="67" t="s">
        <v>140</v>
      </c>
      <c r="W11" s="67">
        <v>360</v>
      </c>
      <c r="X11" s="67">
        <v>430</v>
      </c>
      <c r="Y11" s="67">
        <v>770</v>
      </c>
      <c r="Z11" s="67">
        <v>920</v>
      </c>
      <c r="AA11" s="67">
        <v>1300</v>
      </c>
      <c r="AB11" s="67">
        <v>1550</v>
      </c>
      <c r="AC11" s="77">
        <v>35</v>
      </c>
      <c r="AD11" s="78">
        <v>40</v>
      </c>
      <c r="AE11" s="76">
        <f>W11*1000/$X$4*$X$5</f>
        <v>34.2</v>
      </c>
      <c r="AF11" s="76">
        <f>X11*1000/$X$4*$X$5</f>
        <v>40.85</v>
      </c>
      <c r="AG11" s="76">
        <f>Y11*1000/$Z$4*$Z$5</f>
        <v>34.2222222222222</v>
      </c>
      <c r="AH11" s="76">
        <f>Z11*1000/$Z$4*$Z$5</f>
        <v>40.8888888888889</v>
      </c>
      <c r="AI11" s="76">
        <f>AA11*1000/$AB$4*$AB$5</f>
        <v>34.125</v>
      </c>
      <c r="AJ11" s="76">
        <f>AB11*1000/$AB$4*$AB$5</f>
        <v>40.6875</v>
      </c>
    </row>
    <row r="12" ht="25" customHeight="1" spans="1:36">
      <c r="A12" s="52">
        <v>4</v>
      </c>
      <c r="B12" s="50" t="s">
        <v>138</v>
      </c>
      <c r="C12" s="54" t="s">
        <v>89</v>
      </c>
      <c r="D12" s="45" t="s">
        <v>67</v>
      </c>
      <c r="E12" s="45">
        <v>25</v>
      </c>
      <c r="F12" s="45" t="s">
        <v>68</v>
      </c>
      <c r="G12" t="s">
        <v>105</v>
      </c>
      <c r="H12" s="55" t="s">
        <v>106</v>
      </c>
      <c r="I12" s="60">
        <v>44367</v>
      </c>
      <c r="J12" s="45">
        <v>1</v>
      </c>
      <c r="K12" s="45" t="s">
        <v>107</v>
      </c>
      <c r="L12" s="61">
        <v>44395</v>
      </c>
      <c r="M12" s="45" t="s">
        <v>72</v>
      </c>
      <c r="N12" s="58">
        <v>44395</v>
      </c>
      <c r="O12" s="62">
        <v>44397</v>
      </c>
      <c r="P12" s="1">
        <v>0.95</v>
      </c>
      <c r="Q12" s="1">
        <v>10000</v>
      </c>
      <c r="R12" s="46">
        <v>316.7</v>
      </c>
      <c r="S12" s="46">
        <v>321.2</v>
      </c>
      <c r="T12" s="46">
        <v>312.3</v>
      </c>
      <c r="U12" s="71">
        <v>30.1</v>
      </c>
      <c r="V12" s="67" t="s">
        <v>141</v>
      </c>
      <c r="W12" s="67">
        <v>410</v>
      </c>
      <c r="X12" s="67">
        <v>480</v>
      </c>
      <c r="Y12" s="67">
        <v>870</v>
      </c>
      <c r="Z12" s="67">
        <v>1040</v>
      </c>
      <c r="AA12" s="67">
        <v>1470</v>
      </c>
      <c r="AB12" s="67">
        <v>1750</v>
      </c>
      <c r="AC12" s="74">
        <v>40</v>
      </c>
      <c r="AD12" s="67">
        <v>45</v>
      </c>
      <c r="AE12" s="76">
        <f>W12*1000/$X$4*$X$5</f>
        <v>38.95</v>
      </c>
      <c r="AF12" s="76">
        <f>X12*1000/$X$4*$X$5</f>
        <v>45.6</v>
      </c>
      <c r="AG12" s="76">
        <f>Y12*1000/$Z$4*$Z$5</f>
        <v>38.6666666666667</v>
      </c>
      <c r="AH12" s="76">
        <f>Z12*1000/$Z$4*$Z$5</f>
        <v>46.2222222222222</v>
      </c>
      <c r="AI12" s="76">
        <f>AA12*1000/$AB$4*$AB$5</f>
        <v>38.5875</v>
      </c>
      <c r="AJ12" s="76">
        <f>AB12*1000/$AB$4*$AB$5</f>
        <v>45.9375</v>
      </c>
    </row>
    <row r="13" ht="25" customHeight="1" spans="1:36">
      <c r="A13" s="52"/>
      <c r="B13" s="50"/>
      <c r="C13" s="54"/>
      <c r="D13" s="45"/>
      <c r="E13" s="45"/>
      <c r="F13" s="45"/>
      <c r="G13" s="55"/>
      <c r="H13" s="55"/>
      <c r="I13" s="63"/>
      <c r="J13" s="45"/>
      <c r="K13" s="45"/>
      <c r="L13" s="63"/>
      <c r="M13" s="45"/>
      <c r="N13" s="58"/>
      <c r="O13" s="62"/>
      <c r="P13" s="1"/>
      <c r="Q13" s="1"/>
      <c r="R13" s="46"/>
      <c r="S13" s="46"/>
      <c r="T13" s="46"/>
      <c r="U13" s="71"/>
      <c r="V13" s="67" t="s">
        <v>142</v>
      </c>
      <c r="W13" s="67">
        <v>460</v>
      </c>
      <c r="X13" s="67">
        <v>540</v>
      </c>
      <c r="Y13" s="67">
        <v>1000</v>
      </c>
      <c r="Z13" s="67">
        <v>1150</v>
      </c>
      <c r="AA13" s="67">
        <v>1660</v>
      </c>
      <c r="AB13" s="67">
        <v>1950</v>
      </c>
      <c r="AC13" s="74">
        <v>45</v>
      </c>
      <c r="AD13" s="67">
        <v>50</v>
      </c>
      <c r="AE13" s="76">
        <f>W13*1000/$X$4*$X$5</f>
        <v>43.7</v>
      </c>
      <c r="AF13" s="76">
        <f>X13*1000/$X$4*$X$5</f>
        <v>51.3</v>
      </c>
      <c r="AG13" s="76">
        <f>Y13*1000/$Z$4*$Z$5</f>
        <v>44.4444444444444</v>
      </c>
      <c r="AH13" s="76">
        <f>Z13*1000/$Z$4*$Z$5</f>
        <v>51.1111111111111</v>
      </c>
      <c r="AI13" s="76">
        <f>AA13*1000/$AB$4*$AB$5</f>
        <v>43.575</v>
      </c>
      <c r="AJ13" s="76">
        <f>AB13*1000/$AB$4*$AB$5</f>
        <v>51.1875</v>
      </c>
    </row>
    <row r="14" ht="25" customHeight="1" spans="1:36">
      <c r="A14" s="52"/>
      <c r="B14" s="50"/>
      <c r="C14" s="54"/>
      <c r="D14" s="45"/>
      <c r="E14" s="45"/>
      <c r="F14" s="45"/>
      <c r="G14" s="45"/>
      <c r="H14" s="56"/>
      <c r="I14" s="60"/>
      <c r="J14" s="45"/>
      <c r="K14" s="45"/>
      <c r="L14" s="64"/>
      <c r="M14" s="54"/>
      <c r="N14" s="58"/>
      <c r="O14" s="62"/>
      <c r="P14" s="1"/>
      <c r="Q14" s="1"/>
      <c r="U14" s="71"/>
      <c r="V14" s="67" t="s">
        <v>143</v>
      </c>
      <c r="W14" s="67">
        <v>520</v>
      </c>
      <c r="X14" s="67">
        <v>590</v>
      </c>
      <c r="Y14" s="67">
        <v>1095</v>
      </c>
      <c r="Z14" s="67">
        <v>1250</v>
      </c>
      <c r="AA14" s="67">
        <v>1850</v>
      </c>
      <c r="AB14" s="67">
        <v>2150</v>
      </c>
      <c r="AC14" s="74">
        <v>50</v>
      </c>
      <c r="AD14" s="67">
        <v>60</v>
      </c>
      <c r="AE14" s="76">
        <f>W14*1000/$X$4*$X$5</f>
        <v>49.4</v>
      </c>
      <c r="AF14" s="76">
        <f>X14*1000/$X$4*$X$5</f>
        <v>56.05</v>
      </c>
      <c r="AG14" s="76">
        <f>Y14*1000/$Z$4*$Z$5</f>
        <v>48.6666666666667</v>
      </c>
      <c r="AH14" s="76">
        <f>Z14*1000/$Z$4*$Z$5</f>
        <v>55.5555555555556</v>
      </c>
      <c r="AI14" s="76">
        <f>AA14*1000/$AB$4*$AB$5</f>
        <v>48.5625</v>
      </c>
      <c r="AJ14" s="76">
        <f>AB14*1000/$AB$4*$AB$5</f>
        <v>56.4375</v>
      </c>
    </row>
    <row r="15" ht="25" customHeight="1" spans="1:31">
      <c r="A15" s="52"/>
      <c r="B15" s="50"/>
      <c r="C15" s="54"/>
      <c r="D15" s="45"/>
      <c r="E15" s="45"/>
      <c r="F15" s="45"/>
      <c r="G15" s="45"/>
      <c r="H15" s="56"/>
      <c r="I15" s="60"/>
      <c r="J15" s="45"/>
      <c r="K15" s="45"/>
      <c r="L15" s="64"/>
      <c r="M15" s="54"/>
      <c r="N15" s="58"/>
      <c r="O15" s="62"/>
      <c r="P15" s="1"/>
      <c r="Q15" s="1"/>
      <c r="U15" s="71"/>
      <c r="V15" s="54" t="s">
        <v>144</v>
      </c>
      <c r="W15" s="54" t="s">
        <v>145</v>
      </c>
      <c r="X15" s="54" t="s">
        <v>146</v>
      </c>
      <c r="Y15" t="s">
        <v>122</v>
      </c>
      <c r="Z15" t="s">
        <v>147</v>
      </c>
      <c r="AA15" t="s">
        <v>123</v>
      </c>
      <c r="AB15" s="79" t="s">
        <v>148</v>
      </c>
      <c r="AC15" s="79" t="s">
        <v>149</v>
      </c>
      <c r="AD15" s="54" t="s">
        <v>131</v>
      </c>
      <c r="AE15" s="54" t="s">
        <v>150</v>
      </c>
    </row>
    <row r="16" ht="25" customHeight="1" spans="1:31">
      <c r="A16" s="52"/>
      <c r="B16" s="50"/>
      <c r="C16" s="54"/>
      <c r="D16" s="45"/>
      <c r="E16" s="45"/>
      <c r="F16" s="45"/>
      <c r="G16" s="45"/>
      <c r="H16" s="56"/>
      <c r="I16" s="60"/>
      <c r="J16" s="45"/>
      <c r="K16" s="45"/>
      <c r="L16" s="64"/>
      <c r="M16" s="54"/>
      <c r="N16" s="65"/>
      <c r="O16" s="62"/>
      <c r="P16" s="1"/>
      <c r="Q16" s="1"/>
      <c r="U16" s="71"/>
      <c r="V16">
        <f t="shared" ref="V16:V39" si="0">R16*1000/10000*0.95</f>
        <v>0</v>
      </c>
      <c r="W16">
        <f t="shared" ref="W16:W39" si="1">S16*1000/10000*0.95</f>
        <v>0</v>
      </c>
      <c r="X16">
        <f t="shared" ref="X16:X39" si="2">T16*1000/10000*0.95</f>
        <v>0</v>
      </c>
      <c r="Y16">
        <f t="shared" ref="Y16:Y39" si="3">MIN(V16:X16)</f>
        <v>0</v>
      </c>
      <c r="Z16">
        <f t="shared" ref="Z16:Z39" si="4">MEDIAN(V16:X16)</f>
        <v>0</v>
      </c>
      <c r="AA16">
        <f t="shared" ref="AA16:AA39" si="5">MAX(V16:X16)</f>
        <v>0</v>
      </c>
      <c r="AB16" s="80" t="e">
        <f t="shared" ref="AB16:AB39" si="6">ABS(Y16-Z16)/Z16</f>
        <v>#DIV/0!</v>
      </c>
      <c r="AC16" s="80" t="e">
        <f t="shared" ref="AC16:AC39" si="7">ABS(Z16-AA16)/Z16</f>
        <v>#DIV/0!</v>
      </c>
      <c r="AD16" s="45" t="e">
        <f t="shared" ref="AD16:AD39" si="8">ROUND(IF(AND(AB16&lt;15%,AC16&lt;15%),AVERAGE(V16:X16),IF(OR(AB16&gt;15%,AC16&gt;15%),Z16,IF(AND(AB16&gt;15%,AC16&gt;15%),"结果无效"))),1)</f>
        <v>#DIV/0!</v>
      </c>
      <c r="AE16" s="45" t="e">
        <f t="shared" ref="AE16:AE39" si="9">U16-AD16</f>
        <v>#DIV/0!</v>
      </c>
    </row>
    <row r="17" ht="25" customHeight="1" spans="1:31">
      <c r="A17" s="52"/>
      <c r="B17" s="50"/>
      <c r="C17" s="54"/>
      <c r="D17" s="45"/>
      <c r="E17" s="45"/>
      <c r="F17" s="45"/>
      <c r="G17" s="45"/>
      <c r="H17" s="56"/>
      <c r="I17" s="60"/>
      <c r="J17" s="45"/>
      <c r="K17" s="45"/>
      <c r="L17" s="64"/>
      <c r="M17" s="54"/>
      <c r="N17" s="65"/>
      <c r="O17" s="62"/>
      <c r="P17" s="1"/>
      <c r="Q17" s="1"/>
      <c r="U17" s="71"/>
      <c r="V17">
        <f t="shared" si="0"/>
        <v>0</v>
      </c>
      <c r="W17">
        <f t="shared" si="1"/>
        <v>0</v>
      </c>
      <c r="X17">
        <f t="shared" si="2"/>
        <v>0</v>
      </c>
      <c r="Y17">
        <f t="shared" si="3"/>
        <v>0</v>
      </c>
      <c r="Z17">
        <f t="shared" si="4"/>
        <v>0</v>
      </c>
      <c r="AA17">
        <f t="shared" si="5"/>
        <v>0</v>
      </c>
      <c r="AB17" s="80" t="e">
        <f t="shared" si="6"/>
        <v>#DIV/0!</v>
      </c>
      <c r="AC17" s="80" t="e">
        <f t="shared" si="7"/>
        <v>#DIV/0!</v>
      </c>
      <c r="AD17" s="45" t="e">
        <f t="shared" si="8"/>
        <v>#DIV/0!</v>
      </c>
      <c r="AE17" s="45" t="e">
        <f t="shared" si="9"/>
        <v>#DIV/0!</v>
      </c>
    </row>
    <row r="18" ht="25" customHeight="1" spans="1:31">
      <c r="A18" s="52"/>
      <c r="B18" s="50"/>
      <c r="C18" s="54"/>
      <c r="D18" s="45"/>
      <c r="E18" s="45"/>
      <c r="F18" s="45"/>
      <c r="G18" s="45"/>
      <c r="H18" s="56"/>
      <c r="I18" s="60"/>
      <c r="J18" s="45"/>
      <c r="K18" s="45"/>
      <c r="L18" s="64"/>
      <c r="M18" s="54"/>
      <c r="N18" s="65"/>
      <c r="O18" s="62"/>
      <c r="P18" s="1"/>
      <c r="Q18" s="1"/>
      <c r="U18" s="71"/>
      <c r="V18">
        <f t="shared" si="0"/>
        <v>0</v>
      </c>
      <c r="W18">
        <f t="shared" si="1"/>
        <v>0</v>
      </c>
      <c r="X18">
        <f t="shared" si="2"/>
        <v>0</v>
      </c>
      <c r="Y18">
        <f t="shared" si="3"/>
        <v>0</v>
      </c>
      <c r="Z18">
        <f t="shared" si="4"/>
        <v>0</v>
      </c>
      <c r="AA18">
        <f t="shared" si="5"/>
        <v>0</v>
      </c>
      <c r="AB18" s="80" t="e">
        <f t="shared" si="6"/>
        <v>#DIV/0!</v>
      </c>
      <c r="AC18" s="80" t="e">
        <f t="shared" si="7"/>
        <v>#DIV/0!</v>
      </c>
      <c r="AD18" s="45" t="e">
        <f t="shared" si="8"/>
        <v>#DIV/0!</v>
      </c>
      <c r="AE18" s="45" t="e">
        <f t="shared" si="9"/>
        <v>#DIV/0!</v>
      </c>
    </row>
    <row r="19" ht="25" customHeight="1" spans="1:31">
      <c r="A19" s="52"/>
      <c r="B19" s="50"/>
      <c r="C19" s="54"/>
      <c r="D19" s="45"/>
      <c r="E19" s="45"/>
      <c r="F19" s="45"/>
      <c r="G19" s="45"/>
      <c r="H19" s="56"/>
      <c r="I19" s="60"/>
      <c r="J19" s="45"/>
      <c r="K19" s="45"/>
      <c r="L19" s="64"/>
      <c r="M19" s="54"/>
      <c r="N19" s="65"/>
      <c r="O19" s="62"/>
      <c r="P19" s="1"/>
      <c r="Q19" s="1"/>
      <c r="U19" s="71"/>
      <c r="V19">
        <f t="shared" si="0"/>
        <v>0</v>
      </c>
      <c r="W19">
        <f t="shared" si="1"/>
        <v>0</v>
      </c>
      <c r="X19">
        <f t="shared" si="2"/>
        <v>0</v>
      </c>
      <c r="Y19">
        <f t="shared" si="3"/>
        <v>0</v>
      </c>
      <c r="Z19">
        <f t="shared" si="4"/>
        <v>0</v>
      </c>
      <c r="AA19">
        <f t="shared" si="5"/>
        <v>0</v>
      </c>
      <c r="AB19" s="80" t="e">
        <f t="shared" si="6"/>
        <v>#DIV/0!</v>
      </c>
      <c r="AC19" s="80" t="e">
        <f t="shared" si="7"/>
        <v>#DIV/0!</v>
      </c>
      <c r="AD19" s="45" t="e">
        <f t="shared" si="8"/>
        <v>#DIV/0!</v>
      </c>
      <c r="AE19" s="45" t="e">
        <f t="shared" si="9"/>
        <v>#DIV/0!</v>
      </c>
    </row>
    <row r="20" ht="25" customHeight="1" spans="1:31">
      <c r="A20" s="52"/>
      <c r="B20" s="50"/>
      <c r="C20" s="54"/>
      <c r="D20" s="45"/>
      <c r="E20" s="45"/>
      <c r="F20" s="45"/>
      <c r="G20" s="45"/>
      <c r="H20" s="56"/>
      <c r="I20" s="60"/>
      <c r="J20" s="45"/>
      <c r="K20" s="45"/>
      <c r="L20" s="64"/>
      <c r="M20" s="54"/>
      <c r="N20" s="65"/>
      <c r="O20" s="62"/>
      <c r="P20" s="1"/>
      <c r="Q20" s="1"/>
      <c r="U20" s="71"/>
      <c r="V20">
        <f t="shared" si="0"/>
        <v>0</v>
      </c>
      <c r="W20">
        <f t="shared" si="1"/>
        <v>0</v>
      </c>
      <c r="X20">
        <f t="shared" si="2"/>
        <v>0</v>
      </c>
      <c r="Y20">
        <f t="shared" si="3"/>
        <v>0</v>
      </c>
      <c r="Z20">
        <f t="shared" si="4"/>
        <v>0</v>
      </c>
      <c r="AA20">
        <f t="shared" si="5"/>
        <v>0</v>
      </c>
      <c r="AB20" s="80" t="e">
        <f t="shared" si="6"/>
        <v>#DIV/0!</v>
      </c>
      <c r="AC20" s="80" t="e">
        <f t="shared" si="7"/>
        <v>#DIV/0!</v>
      </c>
      <c r="AD20" s="45" t="e">
        <f t="shared" si="8"/>
        <v>#DIV/0!</v>
      </c>
      <c r="AE20" s="45" t="e">
        <f t="shared" si="9"/>
        <v>#DIV/0!</v>
      </c>
    </row>
    <row r="21" ht="25" customHeight="1" spans="1:31">
      <c r="A21" s="52"/>
      <c r="B21" s="50"/>
      <c r="C21" s="54"/>
      <c r="D21" s="45"/>
      <c r="E21" s="45"/>
      <c r="F21" s="45"/>
      <c r="G21" s="45"/>
      <c r="H21" s="56"/>
      <c r="I21" s="60"/>
      <c r="J21" s="45"/>
      <c r="K21" s="45"/>
      <c r="L21" s="64"/>
      <c r="M21" s="54"/>
      <c r="N21" s="65"/>
      <c r="O21" s="62"/>
      <c r="P21" s="1"/>
      <c r="Q21" s="1"/>
      <c r="U21" s="71"/>
      <c r="V21">
        <f t="shared" si="0"/>
        <v>0</v>
      </c>
      <c r="W21">
        <f t="shared" si="1"/>
        <v>0</v>
      </c>
      <c r="X21">
        <f t="shared" si="2"/>
        <v>0</v>
      </c>
      <c r="Y21">
        <f t="shared" si="3"/>
        <v>0</v>
      </c>
      <c r="Z21">
        <f t="shared" si="4"/>
        <v>0</v>
      </c>
      <c r="AA21">
        <f t="shared" si="5"/>
        <v>0</v>
      </c>
      <c r="AB21" s="80" t="e">
        <f t="shared" si="6"/>
        <v>#DIV/0!</v>
      </c>
      <c r="AC21" s="80" t="e">
        <f t="shared" si="7"/>
        <v>#DIV/0!</v>
      </c>
      <c r="AD21" s="45" t="e">
        <f t="shared" si="8"/>
        <v>#DIV/0!</v>
      </c>
      <c r="AE21" s="45" t="e">
        <f t="shared" si="9"/>
        <v>#DIV/0!</v>
      </c>
    </row>
    <row r="22" ht="25" customHeight="1" spans="1:31">
      <c r="A22" s="52"/>
      <c r="B22" s="50"/>
      <c r="C22" s="54"/>
      <c r="D22" s="45"/>
      <c r="E22" s="45"/>
      <c r="F22" s="45"/>
      <c r="G22" s="45"/>
      <c r="H22" s="56"/>
      <c r="I22" s="60"/>
      <c r="J22" s="45"/>
      <c r="K22" s="45"/>
      <c r="L22" s="64"/>
      <c r="M22" s="54"/>
      <c r="N22" s="65"/>
      <c r="O22" s="62"/>
      <c r="P22" s="1"/>
      <c r="Q22" s="1"/>
      <c r="U22" s="71"/>
      <c r="V22">
        <f t="shared" si="0"/>
        <v>0</v>
      </c>
      <c r="W22">
        <f t="shared" si="1"/>
        <v>0</v>
      </c>
      <c r="X22">
        <f t="shared" si="2"/>
        <v>0</v>
      </c>
      <c r="Y22">
        <f t="shared" si="3"/>
        <v>0</v>
      </c>
      <c r="Z22">
        <f t="shared" si="4"/>
        <v>0</v>
      </c>
      <c r="AA22">
        <f t="shared" si="5"/>
        <v>0</v>
      </c>
      <c r="AB22" s="80" t="e">
        <f t="shared" si="6"/>
        <v>#DIV/0!</v>
      </c>
      <c r="AC22" s="80" t="e">
        <f t="shared" si="7"/>
        <v>#DIV/0!</v>
      </c>
      <c r="AD22" s="45" t="e">
        <f t="shared" si="8"/>
        <v>#DIV/0!</v>
      </c>
      <c r="AE22" s="45" t="e">
        <f t="shared" si="9"/>
        <v>#DIV/0!</v>
      </c>
    </row>
    <row r="23" ht="25" customHeight="1" spans="1:31">
      <c r="A23" s="52"/>
      <c r="B23" s="50"/>
      <c r="C23" s="54"/>
      <c r="D23" s="45"/>
      <c r="E23" s="45"/>
      <c r="F23" s="45"/>
      <c r="G23" s="45"/>
      <c r="H23" s="56"/>
      <c r="I23" s="60"/>
      <c r="J23" s="45"/>
      <c r="K23" s="45"/>
      <c r="L23" s="64"/>
      <c r="M23" s="54"/>
      <c r="N23" s="65"/>
      <c r="O23" s="62"/>
      <c r="P23" s="1"/>
      <c r="Q23" s="1"/>
      <c r="U23" s="71"/>
      <c r="V23">
        <f t="shared" si="0"/>
        <v>0</v>
      </c>
      <c r="W23">
        <f t="shared" si="1"/>
        <v>0</v>
      </c>
      <c r="X23">
        <f t="shared" si="2"/>
        <v>0</v>
      </c>
      <c r="Y23">
        <f t="shared" si="3"/>
        <v>0</v>
      </c>
      <c r="Z23">
        <f t="shared" si="4"/>
        <v>0</v>
      </c>
      <c r="AA23">
        <f t="shared" si="5"/>
        <v>0</v>
      </c>
      <c r="AB23" s="80" t="e">
        <f t="shared" si="6"/>
        <v>#DIV/0!</v>
      </c>
      <c r="AC23" s="80" t="e">
        <f t="shared" si="7"/>
        <v>#DIV/0!</v>
      </c>
      <c r="AD23" s="45" t="e">
        <f t="shared" si="8"/>
        <v>#DIV/0!</v>
      </c>
      <c r="AE23" s="45" t="e">
        <f t="shared" si="9"/>
        <v>#DIV/0!</v>
      </c>
    </row>
    <row r="24" ht="25" customHeight="1" spans="1:31">
      <c r="A24" s="52"/>
      <c r="B24" s="50"/>
      <c r="C24" s="54"/>
      <c r="D24" s="45"/>
      <c r="E24" s="45"/>
      <c r="F24" s="45"/>
      <c r="G24" s="45"/>
      <c r="H24" s="56"/>
      <c r="I24" s="60"/>
      <c r="J24" s="45"/>
      <c r="K24" s="45"/>
      <c r="L24" s="64"/>
      <c r="M24" s="54"/>
      <c r="N24" s="65"/>
      <c r="O24" s="62"/>
      <c r="P24" s="1"/>
      <c r="Q24" s="1"/>
      <c r="U24" s="71"/>
      <c r="V24">
        <f t="shared" si="0"/>
        <v>0</v>
      </c>
      <c r="W24">
        <f t="shared" si="1"/>
        <v>0</v>
      </c>
      <c r="X24">
        <f t="shared" si="2"/>
        <v>0</v>
      </c>
      <c r="Y24">
        <f t="shared" si="3"/>
        <v>0</v>
      </c>
      <c r="Z24">
        <f t="shared" si="4"/>
        <v>0</v>
      </c>
      <c r="AA24">
        <f t="shared" si="5"/>
        <v>0</v>
      </c>
      <c r="AB24" s="80" t="e">
        <f t="shared" si="6"/>
        <v>#DIV/0!</v>
      </c>
      <c r="AC24" s="80" t="e">
        <f t="shared" si="7"/>
        <v>#DIV/0!</v>
      </c>
      <c r="AD24" s="45" t="e">
        <f t="shared" si="8"/>
        <v>#DIV/0!</v>
      </c>
      <c r="AE24" s="45" t="e">
        <f t="shared" si="9"/>
        <v>#DIV/0!</v>
      </c>
    </row>
    <row r="25" ht="25" customHeight="1" spans="1:31">
      <c r="A25" s="52"/>
      <c r="B25" s="50"/>
      <c r="C25" s="54"/>
      <c r="D25" s="45"/>
      <c r="E25" s="45"/>
      <c r="F25" s="45"/>
      <c r="G25" s="45"/>
      <c r="H25" s="56"/>
      <c r="I25" s="60"/>
      <c r="J25" s="45"/>
      <c r="K25" s="45"/>
      <c r="L25" s="64"/>
      <c r="M25" s="54"/>
      <c r="N25" s="65"/>
      <c r="O25" s="62"/>
      <c r="P25" s="1"/>
      <c r="Q25" s="1"/>
      <c r="U25" s="71"/>
      <c r="V25">
        <f t="shared" si="0"/>
        <v>0</v>
      </c>
      <c r="W25">
        <f t="shared" si="1"/>
        <v>0</v>
      </c>
      <c r="X25">
        <f t="shared" si="2"/>
        <v>0</v>
      </c>
      <c r="Y25">
        <f t="shared" si="3"/>
        <v>0</v>
      </c>
      <c r="Z25">
        <f t="shared" si="4"/>
        <v>0</v>
      </c>
      <c r="AA25">
        <f t="shared" si="5"/>
        <v>0</v>
      </c>
      <c r="AB25" s="80" t="e">
        <f t="shared" si="6"/>
        <v>#DIV/0!</v>
      </c>
      <c r="AC25" s="80" t="e">
        <f t="shared" si="7"/>
        <v>#DIV/0!</v>
      </c>
      <c r="AD25" s="45" t="e">
        <f t="shared" si="8"/>
        <v>#DIV/0!</v>
      </c>
      <c r="AE25" s="45" t="e">
        <f t="shared" si="9"/>
        <v>#DIV/0!</v>
      </c>
    </row>
    <row r="26" ht="25" customHeight="1" spans="1:31">
      <c r="A26" s="52"/>
      <c r="B26" s="50"/>
      <c r="C26" s="54"/>
      <c r="D26" s="45"/>
      <c r="E26" s="45"/>
      <c r="F26" s="45"/>
      <c r="G26" s="45"/>
      <c r="H26" s="56"/>
      <c r="I26" s="60"/>
      <c r="J26" s="45"/>
      <c r="K26" s="45"/>
      <c r="L26" s="64"/>
      <c r="M26" s="54"/>
      <c r="N26" s="65"/>
      <c r="O26" s="62"/>
      <c r="P26" s="1"/>
      <c r="Q26" s="1"/>
      <c r="U26" s="71"/>
      <c r="V26">
        <f t="shared" si="0"/>
        <v>0</v>
      </c>
      <c r="W26">
        <f t="shared" si="1"/>
        <v>0</v>
      </c>
      <c r="X26">
        <f t="shared" si="2"/>
        <v>0</v>
      </c>
      <c r="Y26">
        <f t="shared" si="3"/>
        <v>0</v>
      </c>
      <c r="Z26">
        <f t="shared" si="4"/>
        <v>0</v>
      </c>
      <c r="AA26">
        <f t="shared" si="5"/>
        <v>0</v>
      </c>
      <c r="AB26" s="80" t="e">
        <f t="shared" si="6"/>
        <v>#DIV/0!</v>
      </c>
      <c r="AC26" s="80" t="e">
        <f t="shared" si="7"/>
        <v>#DIV/0!</v>
      </c>
      <c r="AD26" s="45" t="e">
        <f t="shared" si="8"/>
        <v>#DIV/0!</v>
      </c>
      <c r="AE26" s="45" t="e">
        <f t="shared" si="9"/>
        <v>#DIV/0!</v>
      </c>
    </row>
    <row r="27" ht="25" customHeight="1" spans="1:31">
      <c r="A27" s="52"/>
      <c r="B27" s="50"/>
      <c r="C27" s="54"/>
      <c r="D27" s="45"/>
      <c r="E27" s="45"/>
      <c r="F27" s="45"/>
      <c r="G27" s="45"/>
      <c r="H27" s="56"/>
      <c r="I27" s="60"/>
      <c r="J27" s="45"/>
      <c r="K27" s="45"/>
      <c r="L27" s="64"/>
      <c r="M27" s="54"/>
      <c r="N27" s="65"/>
      <c r="O27" s="62"/>
      <c r="P27" s="1"/>
      <c r="Q27" s="1"/>
      <c r="U27" s="71"/>
      <c r="V27">
        <f t="shared" si="0"/>
        <v>0</v>
      </c>
      <c r="W27">
        <f t="shared" si="1"/>
        <v>0</v>
      </c>
      <c r="X27">
        <f t="shared" si="2"/>
        <v>0</v>
      </c>
      <c r="Y27">
        <f t="shared" si="3"/>
        <v>0</v>
      </c>
      <c r="Z27">
        <f t="shared" si="4"/>
        <v>0</v>
      </c>
      <c r="AA27">
        <f t="shared" si="5"/>
        <v>0</v>
      </c>
      <c r="AB27" s="80" t="e">
        <f t="shared" si="6"/>
        <v>#DIV/0!</v>
      </c>
      <c r="AC27" s="80" t="e">
        <f t="shared" si="7"/>
        <v>#DIV/0!</v>
      </c>
      <c r="AD27" s="45" t="e">
        <f t="shared" si="8"/>
        <v>#DIV/0!</v>
      </c>
      <c r="AE27" s="45" t="e">
        <f t="shared" si="9"/>
        <v>#DIV/0!</v>
      </c>
    </row>
    <row r="28" ht="25" customHeight="1" spans="1:31">
      <c r="A28" s="52"/>
      <c r="B28" s="50"/>
      <c r="C28" s="54"/>
      <c r="D28" s="45"/>
      <c r="E28" s="45"/>
      <c r="F28" s="45"/>
      <c r="G28" s="45"/>
      <c r="H28" s="56"/>
      <c r="I28" s="60"/>
      <c r="J28" s="45"/>
      <c r="K28" s="45"/>
      <c r="L28" s="64"/>
      <c r="M28" s="54"/>
      <c r="N28" s="65"/>
      <c r="O28" s="62"/>
      <c r="P28" s="1"/>
      <c r="Q28" s="1"/>
      <c r="U28" s="71"/>
      <c r="V28">
        <f t="shared" si="0"/>
        <v>0</v>
      </c>
      <c r="W28">
        <f t="shared" si="1"/>
        <v>0</v>
      </c>
      <c r="X28">
        <f t="shared" si="2"/>
        <v>0</v>
      </c>
      <c r="Y28">
        <f t="shared" si="3"/>
        <v>0</v>
      </c>
      <c r="Z28">
        <f t="shared" si="4"/>
        <v>0</v>
      </c>
      <c r="AA28">
        <f t="shared" si="5"/>
        <v>0</v>
      </c>
      <c r="AB28" s="80" t="e">
        <f t="shared" si="6"/>
        <v>#DIV/0!</v>
      </c>
      <c r="AC28" s="80" t="e">
        <f t="shared" si="7"/>
        <v>#DIV/0!</v>
      </c>
      <c r="AD28" s="45" t="e">
        <f t="shared" si="8"/>
        <v>#DIV/0!</v>
      </c>
      <c r="AE28" s="45" t="e">
        <f t="shared" si="9"/>
        <v>#DIV/0!</v>
      </c>
    </row>
    <row r="29" ht="25" customHeight="1" spans="1:31">
      <c r="A29" s="52"/>
      <c r="B29" s="50"/>
      <c r="C29" s="54"/>
      <c r="D29" s="45"/>
      <c r="E29" s="45"/>
      <c r="F29" s="45"/>
      <c r="G29" s="45"/>
      <c r="H29" s="56"/>
      <c r="I29" s="60"/>
      <c r="J29" s="45"/>
      <c r="K29" s="45"/>
      <c r="L29" s="64"/>
      <c r="M29" s="64"/>
      <c r="N29" s="65"/>
      <c r="O29" s="62"/>
      <c r="P29" s="1"/>
      <c r="Q29" s="1"/>
      <c r="U29" s="71"/>
      <c r="V29">
        <f t="shared" si="0"/>
        <v>0</v>
      </c>
      <c r="W29">
        <f t="shared" si="1"/>
        <v>0</v>
      </c>
      <c r="X29">
        <f t="shared" si="2"/>
        <v>0</v>
      </c>
      <c r="Y29">
        <f t="shared" si="3"/>
        <v>0</v>
      </c>
      <c r="Z29">
        <f t="shared" si="4"/>
        <v>0</v>
      </c>
      <c r="AA29">
        <f t="shared" si="5"/>
        <v>0</v>
      </c>
      <c r="AB29" s="80" t="e">
        <f t="shared" si="6"/>
        <v>#DIV/0!</v>
      </c>
      <c r="AC29" s="80" t="e">
        <f t="shared" si="7"/>
        <v>#DIV/0!</v>
      </c>
      <c r="AD29" s="45" t="e">
        <f t="shared" si="8"/>
        <v>#DIV/0!</v>
      </c>
      <c r="AE29" s="45" t="e">
        <f t="shared" si="9"/>
        <v>#DIV/0!</v>
      </c>
    </row>
    <row r="30" ht="25" customHeight="1" spans="1:31">
      <c r="A30" s="52"/>
      <c r="B30" s="50"/>
      <c r="C30" s="54"/>
      <c r="D30" s="45"/>
      <c r="E30" s="45"/>
      <c r="F30" s="45"/>
      <c r="G30" s="45"/>
      <c r="H30" s="56"/>
      <c r="I30" s="60"/>
      <c r="J30" s="45"/>
      <c r="K30" s="45"/>
      <c r="L30" s="64"/>
      <c r="M30" s="64"/>
      <c r="N30" s="65"/>
      <c r="O30" s="62"/>
      <c r="P30" s="1"/>
      <c r="Q30" s="1"/>
      <c r="U30" s="71"/>
      <c r="V30">
        <f t="shared" si="0"/>
        <v>0</v>
      </c>
      <c r="W30">
        <f t="shared" si="1"/>
        <v>0</v>
      </c>
      <c r="X30">
        <f t="shared" si="2"/>
        <v>0</v>
      </c>
      <c r="Y30">
        <f t="shared" si="3"/>
        <v>0</v>
      </c>
      <c r="Z30">
        <f t="shared" si="4"/>
        <v>0</v>
      </c>
      <c r="AA30">
        <f t="shared" si="5"/>
        <v>0</v>
      </c>
      <c r="AB30" s="80" t="e">
        <f t="shared" si="6"/>
        <v>#DIV/0!</v>
      </c>
      <c r="AC30" s="80" t="e">
        <f t="shared" si="7"/>
        <v>#DIV/0!</v>
      </c>
      <c r="AD30" s="45" t="e">
        <f t="shared" si="8"/>
        <v>#DIV/0!</v>
      </c>
      <c r="AE30" s="45" t="e">
        <f t="shared" si="9"/>
        <v>#DIV/0!</v>
      </c>
    </row>
    <row r="31" ht="25" customHeight="1" spans="1:31">
      <c r="A31" s="52"/>
      <c r="B31" s="50"/>
      <c r="C31" s="54"/>
      <c r="D31" s="45"/>
      <c r="E31" s="45"/>
      <c r="F31" s="45"/>
      <c r="G31" s="45"/>
      <c r="H31" s="56"/>
      <c r="I31" s="60"/>
      <c r="J31" s="45"/>
      <c r="K31" s="45"/>
      <c r="L31" s="64"/>
      <c r="M31" s="64"/>
      <c r="N31" s="65"/>
      <c r="O31" s="62"/>
      <c r="P31" s="1"/>
      <c r="Q31" s="1"/>
      <c r="U31" s="71"/>
      <c r="V31">
        <f t="shared" si="0"/>
        <v>0</v>
      </c>
      <c r="W31">
        <f t="shared" si="1"/>
        <v>0</v>
      </c>
      <c r="X31">
        <f t="shared" si="2"/>
        <v>0</v>
      </c>
      <c r="Y31">
        <f t="shared" si="3"/>
        <v>0</v>
      </c>
      <c r="Z31">
        <f t="shared" si="4"/>
        <v>0</v>
      </c>
      <c r="AA31">
        <f t="shared" si="5"/>
        <v>0</v>
      </c>
      <c r="AB31" s="80" t="e">
        <f t="shared" si="6"/>
        <v>#DIV/0!</v>
      </c>
      <c r="AC31" s="80" t="e">
        <f t="shared" si="7"/>
        <v>#DIV/0!</v>
      </c>
      <c r="AD31" s="45" t="e">
        <f t="shared" si="8"/>
        <v>#DIV/0!</v>
      </c>
      <c r="AE31" s="45" t="e">
        <f t="shared" si="9"/>
        <v>#DIV/0!</v>
      </c>
    </row>
    <row r="32" ht="25" customHeight="1" spans="1:31">
      <c r="A32" s="52"/>
      <c r="B32" s="50"/>
      <c r="C32" s="54"/>
      <c r="D32" s="45"/>
      <c r="E32" s="45"/>
      <c r="F32" s="45"/>
      <c r="G32" s="45"/>
      <c r="H32" s="56"/>
      <c r="I32" s="60"/>
      <c r="J32" s="45"/>
      <c r="K32" s="45"/>
      <c r="L32" s="64"/>
      <c r="M32" s="64"/>
      <c r="N32" s="65"/>
      <c r="O32" s="62"/>
      <c r="P32" s="1"/>
      <c r="Q32" s="1"/>
      <c r="U32" s="71"/>
      <c r="V32">
        <f t="shared" si="0"/>
        <v>0</v>
      </c>
      <c r="W32">
        <f t="shared" si="1"/>
        <v>0</v>
      </c>
      <c r="X32">
        <f t="shared" si="2"/>
        <v>0</v>
      </c>
      <c r="Y32">
        <f t="shared" si="3"/>
        <v>0</v>
      </c>
      <c r="Z32">
        <f t="shared" si="4"/>
        <v>0</v>
      </c>
      <c r="AA32">
        <f t="shared" si="5"/>
        <v>0</v>
      </c>
      <c r="AB32" s="80" t="e">
        <f t="shared" si="6"/>
        <v>#DIV/0!</v>
      </c>
      <c r="AC32" s="80" t="e">
        <f t="shared" si="7"/>
        <v>#DIV/0!</v>
      </c>
      <c r="AD32" s="45" t="e">
        <f t="shared" si="8"/>
        <v>#DIV/0!</v>
      </c>
      <c r="AE32" s="45" t="e">
        <f t="shared" si="9"/>
        <v>#DIV/0!</v>
      </c>
    </row>
    <row r="33" ht="25" customHeight="1" spans="1:31">
      <c r="A33" s="52"/>
      <c r="B33" s="50"/>
      <c r="C33" s="54"/>
      <c r="D33" s="45"/>
      <c r="E33" s="45"/>
      <c r="F33" s="45"/>
      <c r="G33" s="45"/>
      <c r="H33" s="56"/>
      <c r="I33" s="60"/>
      <c r="J33" s="45"/>
      <c r="K33" s="45"/>
      <c r="L33" s="64"/>
      <c r="M33" s="64"/>
      <c r="N33" s="65"/>
      <c r="O33" s="62"/>
      <c r="P33" s="1"/>
      <c r="Q33" s="1"/>
      <c r="U33" s="71"/>
      <c r="V33">
        <f t="shared" si="0"/>
        <v>0</v>
      </c>
      <c r="W33">
        <f t="shared" si="1"/>
        <v>0</v>
      </c>
      <c r="X33">
        <f t="shared" si="2"/>
        <v>0</v>
      </c>
      <c r="Y33">
        <f t="shared" si="3"/>
        <v>0</v>
      </c>
      <c r="Z33">
        <f t="shared" si="4"/>
        <v>0</v>
      </c>
      <c r="AA33">
        <f t="shared" si="5"/>
        <v>0</v>
      </c>
      <c r="AB33" s="80" t="e">
        <f t="shared" si="6"/>
        <v>#DIV/0!</v>
      </c>
      <c r="AC33" s="80" t="e">
        <f t="shared" si="7"/>
        <v>#DIV/0!</v>
      </c>
      <c r="AD33" s="45" t="e">
        <f t="shared" si="8"/>
        <v>#DIV/0!</v>
      </c>
      <c r="AE33" s="45" t="e">
        <f t="shared" si="9"/>
        <v>#DIV/0!</v>
      </c>
    </row>
    <row r="34" ht="25" customHeight="1" spans="1:31">
      <c r="A34" s="52"/>
      <c r="B34" s="50"/>
      <c r="C34" s="54"/>
      <c r="D34" s="45"/>
      <c r="E34" s="45"/>
      <c r="F34" s="45"/>
      <c r="G34" s="45"/>
      <c r="H34" s="56"/>
      <c r="I34" s="60"/>
      <c r="J34" s="45"/>
      <c r="K34" s="45"/>
      <c r="L34" s="64"/>
      <c r="M34" s="64"/>
      <c r="N34" s="65"/>
      <c r="O34" s="62"/>
      <c r="P34" s="1"/>
      <c r="Q34" s="1"/>
      <c r="U34" s="71"/>
      <c r="V34">
        <f t="shared" si="0"/>
        <v>0</v>
      </c>
      <c r="W34">
        <f t="shared" si="1"/>
        <v>0</v>
      </c>
      <c r="X34">
        <f t="shared" si="2"/>
        <v>0</v>
      </c>
      <c r="Y34">
        <f t="shared" si="3"/>
        <v>0</v>
      </c>
      <c r="Z34">
        <f t="shared" si="4"/>
        <v>0</v>
      </c>
      <c r="AA34">
        <f t="shared" si="5"/>
        <v>0</v>
      </c>
      <c r="AB34" s="80" t="e">
        <f t="shared" si="6"/>
        <v>#DIV/0!</v>
      </c>
      <c r="AC34" s="80" t="e">
        <f t="shared" si="7"/>
        <v>#DIV/0!</v>
      </c>
      <c r="AD34" s="45" t="e">
        <f t="shared" si="8"/>
        <v>#DIV/0!</v>
      </c>
      <c r="AE34" s="45" t="e">
        <f t="shared" si="9"/>
        <v>#DIV/0!</v>
      </c>
    </row>
    <row r="35" ht="25" customHeight="1" spans="1:31">
      <c r="A35" s="52"/>
      <c r="B35" s="50"/>
      <c r="C35" s="54"/>
      <c r="D35" s="45"/>
      <c r="E35" s="45"/>
      <c r="F35" s="45"/>
      <c r="G35" s="45"/>
      <c r="H35" s="56"/>
      <c r="I35" s="60"/>
      <c r="J35" s="45"/>
      <c r="K35" s="45"/>
      <c r="L35" s="64"/>
      <c r="M35" s="64"/>
      <c r="N35" s="65"/>
      <c r="O35" s="62"/>
      <c r="P35" s="1"/>
      <c r="Q35" s="1"/>
      <c r="U35" s="71"/>
      <c r="V35">
        <f t="shared" si="0"/>
        <v>0</v>
      </c>
      <c r="W35">
        <f t="shared" si="1"/>
        <v>0</v>
      </c>
      <c r="X35">
        <f t="shared" si="2"/>
        <v>0</v>
      </c>
      <c r="Y35">
        <f t="shared" si="3"/>
        <v>0</v>
      </c>
      <c r="Z35">
        <f t="shared" si="4"/>
        <v>0</v>
      </c>
      <c r="AA35">
        <f t="shared" si="5"/>
        <v>0</v>
      </c>
      <c r="AB35" s="80" t="e">
        <f t="shared" si="6"/>
        <v>#DIV/0!</v>
      </c>
      <c r="AC35" s="80" t="e">
        <f t="shared" si="7"/>
        <v>#DIV/0!</v>
      </c>
      <c r="AD35" s="45" t="e">
        <f t="shared" si="8"/>
        <v>#DIV/0!</v>
      </c>
      <c r="AE35" s="45" t="e">
        <f t="shared" si="9"/>
        <v>#DIV/0!</v>
      </c>
    </row>
    <row r="36" ht="25" customHeight="1" spans="1:31">
      <c r="A36" s="52"/>
      <c r="B36" s="52"/>
      <c r="C36" s="54"/>
      <c r="D36" s="45"/>
      <c r="E36" s="45"/>
      <c r="F36" s="45"/>
      <c r="G36" s="45"/>
      <c r="H36" s="56"/>
      <c r="I36" s="60"/>
      <c r="J36" s="45"/>
      <c r="K36" s="45"/>
      <c r="L36" s="64"/>
      <c r="M36" s="64"/>
      <c r="N36" s="65"/>
      <c r="O36" s="62"/>
      <c r="P36" s="1"/>
      <c r="Q36" s="1"/>
      <c r="R36" s="72"/>
      <c r="S36" s="72"/>
      <c r="T36" s="72"/>
      <c r="U36" s="71"/>
      <c r="V36">
        <f t="shared" si="0"/>
        <v>0</v>
      </c>
      <c r="W36">
        <f t="shared" si="1"/>
        <v>0</v>
      </c>
      <c r="X36">
        <f t="shared" si="2"/>
        <v>0</v>
      </c>
      <c r="Y36">
        <f t="shared" si="3"/>
        <v>0</v>
      </c>
      <c r="Z36">
        <f t="shared" si="4"/>
        <v>0</v>
      </c>
      <c r="AA36">
        <f t="shared" si="5"/>
        <v>0</v>
      </c>
      <c r="AB36" s="80" t="e">
        <f t="shared" si="6"/>
        <v>#DIV/0!</v>
      </c>
      <c r="AC36" s="80" t="e">
        <f t="shared" si="7"/>
        <v>#DIV/0!</v>
      </c>
      <c r="AD36" s="45" t="e">
        <f t="shared" si="8"/>
        <v>#DIV/0!</v>
      </c>
      <c r="AE36" s="45" t="e">
        <f t="shared" si="9"/>
        <v>#DIV/0!</v>
      </c>
    </row>
    <row r="37" ht="25" customHeight="1" spans="1:31">
      <c r="A37" s="52"/>
      <c r="B37" s="52"/>
      <c r="C37" s="54"/>
      <c r="D37" s="45"/>
      <c r="E37" s="45"/>
      <c r="F37" s="45"/>
      <c r="G37" s="45"/>
      <c r="H37" s="56"/>
      <c r="I37" s="60"/>
      <c r="J37" s="45"/>
      <c r="K37" s="45"/>
      <c r="L37" s="64"/>
      <c r="M37" s="64"/>
      <c r="N37" s="65"/>
      <c r="O37" s="62"/>
      <c r="P37" s="1"/>
      <c r="Q37" s="1"/>
      <c r="R37" s="72"/>
      <c r="S37" s="72"/>
      <c r="T37" s="72"/>
      <c r="U37" s="71"/>
      <c r="V37">
        <f t="shared" si="0"/>
        <v>0</v>
      </c>
      <c r="W37">
        <f t="shared" si="1"/>
        <v>0</v>
      </c>
      <c r="X37">
        <f t="shared" si="2"/>
        <v>0</v>
      </c>
      <c r="Y37">
        <f t="shared" si="3"/>
        <v>0</v>
      </c>
      <c r="Z37">
        <f t="shared" si="4"/>
        <v>0</v>
      </c>
      <c r="AA37">
        <f t="shared" si="5"/>
        <v>0</v>
      </c>
      <c r="AB37" s="80" t="e">
        <f t="shared" si="6"/>
        <v>#DIV/0!</v>
      </c>
      <c r="AC37" s="80" t="e">
        <f t="shared" si="7"/>
        <v>#DIV/0!</v>
      </c>
      <c r="AD37" s="45" t="e">
        <f t="shared" si="8"/>
        <v>#DIV/0!</v>
      </c>
      <c r="AE37" s="45" t="e">
        <f t="shared" si="9"/>
        <v>#DIV/0!</v>
      </c>
    </row>
    <row r="38" ht="25" customHeight="1" spans="1:31">
      <c r="A38" s="52"/>
      <c r="B38" s="52"/>
      <c r="C38" s="54"/>
      <c r="D38" s="45"/>
      <c r="E38" s="45"/>
      <c r="F38" s="45"/>
      <c r="G38" s="45"/>
      <c r="H38" s="56"/>
      <c r="I38" s="60"/>
      <c r="J38" s="45"/>
      <c r="K38" s="45"/>
      <c r="L38" s="64"/>
      <c r="M38" s="64"/>
      <c r="N38" s="65"/>
      <c r="O38" s="62"/>
      <c r="P38" s="1"/>
      <c r="Q38" s="1"/>
      <c r="R38" s="72"/>
      <c r="S38" s="72"/>
      <c r="T38" s="72"/>
      <c r="U38" s="71"/>
      <c r="V38">
        <f t="shared" si="0"/>
        <v>0</v>
      </c>
      <c r="W38">
        <f t="shared" si="1"/>
        <v>0</v>
      </c>
      <c r="X38">
        <f t="shared" si="2"/>
        <v>0</v>
      </c>
      <c r="Y38">
        <f t="shared" si="3"/>
        <v>0</v>
      </c>
      <c r="Z38">
        <f t="shared" si="4"/>
        <v>0</v>
      </c>
      <c r="AA38">
        <f t="shared" si="5"/>
        <v>0</v>
      </c>
      <c r="AB38" s="80" t="e">
        <f t="shared" si="6"/>
        <v>#DIV/0!</v>
      </c>
      <c r="AC38" s="80" t="e">
        <f t="shared" si="7"/>
        <v>#DIV/0!</v>
      </c>
      <c r="AD38" s="45" t="e">
        <f t="shared" si="8"/>
        <v>#DIV/0!</v>
      </c>
      <c r="AE38" s="45" t="e">
        <f t="shared" si="9"/>
        <v>#DIV/0!</v>
      </c>
    </row>
    <row r="39" ht="25" customHeight="1" spans="1:31">
      <c r="A39" s="52"/>
      <c r="B39" s="52"/>
      <c r="C39" s="54"/>
      <c r="D39" s="45"/>
      <c r="E39" s="45"/>
      <c r="F39" s="45"/>
      <c r="G39" s="45"/>
      <c r="H39" s="56"/>
      <c r="I39" s="60"/>
      <c r="J39" s="45"/>
      <c r="K39" s="45"/>
      <c r="L39" s="64"/>
      <c r="M39" s="64"/>
      <c r="N39" s="65"/>
      <c r="O39" s="62"/>
      <c r="P39" s="1"/>
      <c r="Q39" s="1"/>
      <c r="U39" s="71"/>
      <c r="V39">
        <f t="shared" si="0"/>
        <v>0</v>
      </c>
      <c r="W39">
        <f t="shared" si="1"/>
        <v>0</v>
      </c>
      <c r="X39">
        <f t="shared" si="2"/>
        <v>0</v>
      </c>
      <c r="Y39">
        <f t="shared" si="3"/>
        <v>0</v>
      </c>
      <c r="Z39">
        <f t="shared" si="4"/>
        <v>0</v>
      </c>
      <c r="AA39">
        <f t="shared" si="5"/>
        <v>0</v>
      </c>
      <c r="AB39" s="80" t="e">
        <f t="shared" si="6"/>
        <v>#DIV/0!</v>
      </c>
      <c r="AC39" s="80" t="e">
        <f t="shared" si="7"/>
        <v>#DIV/0!</v>
      </c>
      <c r="AD39" s="45" t="e">
        <f t="shared" si="8"/>
        <v>#DIV/0!</v>
      </c>
      <c r="AE39" s="45" t="e">
        <f t="shared" si="9"/>
        <v>#DIV/0!</v>
      </c>
    </row>
    <row r="40" ht="25" customHeight="1" spans="1:31">
      <c r="A40" s="52"/>
      <c r="B40" s="52"/>
      <c r="C40" s="52"/>
      <c r="D40" s="51"/>
      <c r="E40" s="51"/>
      <c r="F40" s="51"/>
      <c r="H40" s="57"/>
      <c r="I40" s="66"/>
      <c r="J40" s="52"/>
      <c r="K40" s="52"/>
      <c r="L40" s="66"/>
      <c r="M40" s="66"/>
      <c r="N40" s="65"/>
      <c r="O40" s="62"/>
      <c r="P40" s="1"/>
      <c r="Q40" s="1"/>
      <c r="U40" s="71"/>
      <c r="V40">
        <f t="shared" ref="V40:V66" si="10">R40*1000/10000*0.95</f>
        <v>0</v>
      </c>
      <c r="W40">
        <f t="shared" ref="W40:W66" si="11">S40*1000/10000*0.95</f>
        <v>0</v>
      </c>
      <c r="X40">
        <f t="shared" ref="X40:X66" si="12">T40*1000/10000*0.95</f>
        <v>0</v>
      </c>
      <c r="Y40">
        <f t="shared" ref="Y40:Y66" si="13">MIN(V40:X40)</f>
        <v>0</v>
      </c>
      <c r="Z40">
        <f t="shared" ref="Z40:Z66" si="14">MEDIAN(V40:X40)</f>
        <v>0</v>
      </c>
      <c r="AA40">
        <f t="shared" ref="AA40:AA66" si="15">MAX(V40:X40)</f>
        <v>0</v>
      </c>
      <c r="AB40" s="80" t="e">
        <f t="shared" ref="AB40:AB66" si="16">ABS(Y40-Z40)/Z40</f>
        <v>#DIV/0!</v>
      </c>
      <c r="AC40" s="80" t="e">
        <f t="shared" ref="AC40:AC66" si="17">ABS(Z40-AA40)/Z40</f>
        <v>#DIV/0!</v>
      </c>
      <c r="AD40" s="45" t="e">
        <f t="shared" ref="AD40:AD78" si="18">ROUND(IF(AND(AB40&lt;15%,AC40&lt;15%),AVERAGE(V40:X40),IF(OR(AB40&gt;15%,AC40&gt;15%),Z40,IF(AND(AB40&gt;15%,AC40&gt;15%),"结果无效"))),1)</f>
        <v>#DIV/0!</v>
      </c>
      <c r="AE40" s="45" t="e">
        <f t="shared" ref="AE40:AE78" si="19">U40-AD40</f>
        <v>#DIV/0!</v>
      </c>
    </row>
    <row r="41" ht="25" customHeight="1" spans="1:31">
      <c r="A41" s="52"/>
      <c r="B41" s="52"/>
      <c r="C41" s="52"/>
      <c r="D41" s="51"/>
      <c r="E41" s="51"/>
      <c r="F41" s="51"/>
      <c r="H41" s="57"/>
      <c r="I41" s="66"/>
      <c r="J41" s="52"/>
      <c r="K41" s="52"/>
      <c r="L41" s="66"/>
      <c r="M41" s="66"/>
      <c r="N41" s="65"/>
      <c r="O41" s="62"/>
      <c r="P41" s="1"/>
      <c r="Q41" s="1"/>
      <c r="U41" s="71"/>
      <c r="V41">
        <f t="shared" si="10"/>
        <v>0</v>
      </c>
      <c r="W41">
        <f t="shared" si="11"/>
        <v>0</v>
      </c>
      <c r="X41">
        <f t="shared" si="12"/>
        <v>0</v>
      </c>
      <c r="Y41">
        <f t="shared" si="13"/>
        <v>0</v>
      </c>
      <c r="Z41">
        <f t="shared" si="14"/>
        <v>0</v>
      </c>
      <c r="AA41">
        <f t="shared" si="15"/>
        <v>0</v>
      </c>
      <c r="AB41" s="80" t="e">
        <f t="shared" si="16"/>
        <v>#DIV/0!</v>
      </c>
      <c r="AC41" s="80" t="e">
        <f t="shared" si="17"/>
        <v>#DIV/0!</v>
      </c>
      <c r="AD41" s="45" t="e">
        <f t="shared" si="18"/>
        <v>#DIV/0!</v>
      </c>
      <c r="AE41" s="45" t="e">
        <f t="shared" si="19"/>
        <v>#DIV/0!</v>
      </c>
    </row>
    <row r="42" ht="25" customHeight="1" spans="1:31">
      <c r="A42" s="52"/>
      <c r="B42" s="52"/>
      <c r="C42" s="52"/>
      <c r="D42" s="51"/>
      <c r="E42" s="51"/>
      <c r="F42" s="51"/>
      <c r="H42" s="57"/>
      <c r="I42" s="66"/>
      <c r="J42" s="52"/>
      <c r="K42" s="52"/>
      <c r="L42" s="66"/>
      <c r="M42" s="66"/>
      <c r="N42" s="65"/>
      <c r="O42" s="62"/>
      <c r="P42" s="1"/>
      <c r="Q42" s="1"/>
      <c r="U42" s="71"/>
      <c r="V42">
        <f t="shared" si="10"/>
        <v>0</v>
      </c>
      <c r="W42">
        <f t="shared" si="11"/>
        <v>0</v>
      </c>
      <c r="X42">
        <f t="shared" si="12"/>
        <v>0</v>
      </c>
      <c r="Y42">
        <f t="shared" si="13"/>
        <v>0</v>
      </c>
      <c r="Z42">
        <f t="shared" si="14"/>
        <v>0</v>
      </c>
      <c r="AA42">
        <f t="shared" si="15"/>
        <v>0</v>
      </c>
      <c r="AB42" s="80" t="e">
        <f t="shared" si="16"/>
        <v>#DIV/0!</v>
      </c>
      <c r="AC42" s="80" t="e">
        <f t="shared" si="17"/>
        <v>#DIV/0!</v>
      </c>
      <c r="AD42" s="45" t="e">
        <f t="shared" si="18"/>
        <v>#DIV/0!</v>
      </c>
      <c r="AE42" s="45" t="e">
        <f t="shared" si="19"/>
        <v>#DIV/0!</v>
      </c>
    </row>
    <row r="43" ht="25" customHeight="1" spans="1:31">
      <c r="A43" s="52"/>
      <c r="B43" s="52"/>
      <c r="C43" s="52"/>
      <c r="D43" s="51"/>
      <c r="E43" s="51"/>
      <c r="F43" s="51"/>
      <c r="H43" s="57"/>
      <c r="I43" s="66"/>
      <c r="J43" s="52"/>
      <c r="K43" s="52"/>
      <c r="L43" s="66"/>
      <c r="M43" s="66"/>
      <c r="N43" s="65"/>
      <c r="O43" s="62"/>
      <c r="P43" s="1"/>
      <c r="Q43" s="1"/>
      <c r="U43" s="71"/>
      <c r="V43">
        <f t="shared" si="10"/>
        <v>0</v>
      </c>
      <c r="W43">
        <f t="shared" si="11"/>
        <v>0</v>
      </c>
      <c r="X43">
        <f t="shared" si="12"/>
        <v>0</v>
      </c>
      <c r="Y43">
        <f t="shared" si="13"/>
        <v>0</v>
      </c>
      <c r="Z43">
        <f t="shared" si="14"/>
        <v>0</v>
      </c>
      <c r="AA43">
        <f t="shared" si="15"/>
        <v>0</v>
      </c>
      <c r="AB43" s="80" t="e">
        <f t="shared" si="16"/>
        <v>#DIV/0!</v>
      </c>
      <c r="AC43" s="80" t="e">
        <f t="shared" si="17"/>
        <v>#DIV/0!</v>
      </c>
      <c r="AD43" s="45" t="e">
        <f t="shared" si="18"/>
        <v>#DIV/0!</v>
      </c>
      <c r="AE43" s="45" t="e">
        <f t="shared" si="19"/>
        <v>#DIV/0!</v>
      </c>
    </row>
    <row r="44" ht="25" customHeight="1" spans="1:31">
      <c r="A44" s="52"/>
      <c r="B44" s="52"/>
      <c r="C44" s="52"/>
      <c r="D44" s="51"/>
      <c r="E44" s="51"/>
      <c r="F44" s="51"/>
      <c r="H44" s="57"/>
      <c r="I44" s="66"/>
      <c r="J44" s="52"/>
      <c r="K44" s="52"/>
      <c r="L44" s="66"/>
      <c r="M44" s="66"/>
      <c r="N44" s="65"/>
      <c r="O44" s="62"/>
      <c r="P44" s="1"/>
      <c r="Q44" s="1"/>
      <c r="U44" s="71"/>
      <c r="V44">
        <f t="shared" si="10"/>
        <v>0</v>
      </c>
      <c r="W44">
        <f t="shared" si="11"/>
        <v>0</v>
      </c>
      <c r="X44">
        <f t="shared" si="12"/>
        <v>0</v>
      </c>
      <c r="Y44">
        <f t="shared" si="13"/>
        <v>0</v>
      </c>
      <c r="Z44">
        <f t="shared" si="14"/>
        <v>0</v>
      </c>
      <c r="AA44">
        <f t="shared" si="15"/>
        <v>0</v>
      </c>
      <c r="AB44" s="80" t="e">
        <f t="shared" si="16"/>
        <v>#DIV/0!</v>
      </c>
      <c r="AC44" s="80" t="e">
        <f t="shared" si="17"/>
        <v>#DIV/0!</v>
      </c>
      <c r="AD44" s="45" t="e">
        <f t="shared" si="18"/>
        <v>#DIV/0!</v>
      </c>
      <c r="AE44" s="45" t="e">
        <f t="shared" si="19"/>
        <v>#DIV/0!</v>
      </c>
    </row>
    <row r="45" ht="25" customHeight="1" spans="1:31">
      <c r="A45" s="52"/>
      <c r="B45" s="52"/>
      <c r="C45" s="52"/>
      <c r="D45" s="51"/>
      <c r="E45" s="51"/>
      <c r="F45" s="51"/>
      <c r="H45" s="57"/>
      <c r="I45" s="66"/>
      <c r="J45" s="52"/>
      <c r="K45" s="52"/>
      <c r="L45" s="66"/>
      <c r="M45" s="66"/>
      <c r="N45" s="65"/>
      <c r="O45" s="62"/>
      <c r="P45" s="1"/>
      <c r="Q45" s="1"/>
      <c r="U45" s="71"/>
      <c r="V45">
        <f t="shared" si="10"/>
        <v>0</v>
      </c>
      <c r="W45">
        <f t="shared" si="11"/>
        <v>0</v>
      </c>
      <c r="X45">
        <f t="shared" si="12"/>
        <v>0</v>
      </c>
      <c r="Y45">
        <f t="shared" si="13"/>
        <v>0</v>
      </c>
      <c r="Z45">
        <f t="shared" si="14"/>
        <v>0</v>
      </c>
      <c r="AA45">
        <f t="shared" si="15"/>
        <v>0</v>
      </c>
      <c r="AB45" s="80" t="e">
        <f t="shared" si="16"/>
        <v>#DIV/0!</v>
      </c>
      <c r="AC45" s="80" t="e">
        <f t="shared" si="17"/>
        <v>#DIV/0!</v>
      </c>
      <c r="AD45" s="45" t="e">
        <f t="shared" si="18"/>
        <v>#DIV/0!</v>
      </c>
      <c r="AE45" s="45" t="e">
        <f t="shared" si="19"/>
        <v>#DIV/0!</v>
      </c>
    </row>
    <row r="46" ht="25" customHeight="1" spans="1:31">
      <c r="A46" s="52"/>
      <c r="B46" s="52"/>
      <c r="C46" s="52"/>
      <c r="D46" s="51"/>
      <c r="E46" s="51"/>
      <c r="F46" s="51"/>
      <c r="H46" s="57"/>
      <c r="I46" s="66"/>
      <c r="J46" s="52"/>
      <c r="K46" s="52"/>
      <c r="L46" s="66"/>
      <c r="M46" s="66"/>
      <c r="N46" s="65"/>
      <c r="O46" s="62"/>
      <c r="P46" s="1"/>
      <c r="Q46" s="1"/>
      <c r="U46" s="71"/>
      <c r="V46">
        <f t="shared" si="10"/>
        <v>0</v>
      </c>
      <c r="W46">
        <f t="shared" si="11"/>
        <v>0</v>
      </c>
      <c r="X46">
        <f t="shared" si="12"/>
        <v>0</v>
      </c>
      <c r="Y46">
        <f t="shared" si="13"/>
        <v>0</v>
      </c>
      <c r="Z46">
        <f t="shared" si="14"/>
        <v>0</v>
      </c>
      <c r="AA46">
        <f t="shared" si="15"/>
        <v>0</v>
      </c>
      <c r="AB46" s="80" t="e">
        <f t="shared" si="16"/>
        <v>#DIV/0!</v>
      </c>
      <c r="AC46" s="80" t="e">
        <f t="shared" si="17"/>
        <v>#DIV/0!</v>
      </c>
      <c r="AD46" s="45" t="e">
        <f t="shared" si="18"/>
        <v>#DIV/0!</v>
      </c>
      <c r="AE46" s="45" t="e">
        <f t="shared" si="19"/>
        <v>#DIV/0!</v>
      </c>
    </row>
    <row r="47" ht="25" customHeight="1" spans="1:31">
      <c r="A47" s="52"/>
      <c r="B47" s="52"/>
      <c r="C47" s="52"/>
      <c r="D47" s="51"/>
      <c r="E47" s="51"/>
      <c r="F47" s="51"/>
      <c r="H47" s="57"/>
      <c r="I47" s="66"/>
      <c r="J47" s="52"/>
      <c r="K47" s="52"/>
      <c r="L47" s="66"/>
      <c r="M47" s="66"/>
      <c r="N47" s="65"/>
      <c r="O47" s="62"/>
      <c r="P47" s="1"/>
      <c r="Q47" s="1"/>
      <c r="U47" s="71"/>
      <c r="V47">
        <f t="shared" si="10"/>
        <v>0</v>
      </c>
      <c r="W47">
        <f t="shared" si="11"/>
        <v>0</v>
      </c>
      <c r="X47">
        <f t="shared" si="12"/>
        <v>0</v>
      </c>
      <c r="Y47">
        <f t="shared" si="13"/>
        <v>0</v>
      </c>
      <c r="Z47">
        <f t="shared" si="14"/>
        <v>0</v>
      </c>
      <c r="AA47">
        <f t="shared" si="15"/>
        <v>0</v>
      </c>
      <c r="AB47" s="80" t="e">
        <f t="shared" si="16"/>
        <v>#DIV/0!</v>
      </c>
      <c r="AC47" s="80" t="e">
        <f t="shared" si="17"/>
        <v>#DIV/0!</v>
      </c>
      <c r="AD47" s="45" t="e">
        <f t="shared" si="18"/>
        <v>#DIV/0!</v>
      </c>
      <c r="AE47" s="45" t="e">
        <f t="shared" si="19"/>
        <v>#DIV/0!</v>
      </c>
    </row>
    <row r="48" ht="25" customHeight="1" spans="1:31">
      <c r="A48" s="52"/>
      <c r="B48" s="52"/>
      <c r="C48" s="52"/>
      <c r="D48" s="51"/>
      <c r="E48" s="51"/>
      <c r="F48" s="51"/>
      <c r="H48" s="57"/>
      <c r="I48" s="66"/>
      <c r="J48" s="52"/>
      <c r="K48" s="52"/>
      <c r="L48" s="66"/>
      <c r="M48" s="66"/>
      <c r="N48" s="65"/>
      <c r="O48" s="62"/>
      <c r="P48" s="1"/>
      <c r="Q48" s="1"/>
      <c r="U48" s="71"/>
      <c r="V48">
        <f t="shared" si="10"/>
        <v>0</v>
      </c>
      <c r="W48">
        <f t="shared" si="11"/>
        <v>0</v>
      </c>
      <c r="X48">
        <f t="shared" si="12"/>
        <v>0</v>
      </c>
      <c r="Y48">
        <f t="shared" si="13"/>
        <v>0</v>
      </c>
      <c r="Z48">
        <f t="shared" si="14"/>
        <v>0</v>
      </c>
      <c r="AA48">
        <f t="shared" si="15"/>
        <v>0</v>
      </c>
      <c r="AB48" s="80" t="e">
        <f t="shared" si="16"/>
        <v>#DIV/0!</v>
      </c>
      <c r="AC48" s="80" t="e">
        <f t="shared" si="17"/>
        <v>#DIV/0!</v>
      </c>
      <c r="AD48" s="45" t="e">
        <f t="shared" si="18"/>
        <v>#DIV/0!</v>
      </c>
      <c r="AE48" s="45" t="e">
        <f t="shared" si="19"/>
        <v>#DIV/0!</v>
      </c>
    </row>
    <row r="49" ht="25" customHeight="1" spans="1:31">
      <c r="A49" s="52"/>
      <c r="B49" s="52"/>
      <c r="C49" s="52"/>
      <c r="D49" s="51"/>
      <c r="E49" s="51"/>
      <c r="F49" s="51"/>
      <c r="H49" s="57"/>
      <c r="I49" s="66"/>
      <c r="J49" s="52"/>
      <c r="K49" s="52"/>
      <c r="L49" s="66"/>
      <c r="M49" s="66"/>
      <c r="N49" s="65"/>
      <c r="O49" s="62"/>
      <c r="P49" s="1"/>
      <c r="Q49" s="1"/>
      <c r="U49" s="71"/>
      <c r="V49">
        <f t="shared" si="10"/>
        <v>0</v>
      </c>
      <c r="W49">
        <f t="shared" si="11"/>
        <v>0</v>
      </c>
      <c r="X49">
        <f t="shared" si="12"/>
        <v>0</v>
      </c>
      <c r="Y49">
        <f t="shared" si="13"/>
        <v>0</v>
      </c>
      <c r="Z49">
        <f t="shared" si="14"/>
        <v>0</v>
      </c>
      <c r="AA49">
        <f t="shared" si="15"/>
        <v>0</v>
      </c>
      <c r="AB49" s="80" t="e">
        <f t="shared" si="16"/>
        <v>#DIV/0!</v>
      </c>
      <c r="AC49" s="80" t="e">
        <f t="shared" si="17"/>
        <v>#DIV/0!</v>
      </c>
      <c r="AD49" s="45" t="e">
        <f t="shared" si="18"/>
        <v>#DIV/0!</v>
      </c>
      <c r="AE49" s="45" t="e">
        <f t="shared" si="19"/>
        <v>#DIV/0!</v>
      </c>
    </row>
    <row r="50" ht="25" customHeight="1" spans="1:31">
      <c r="A50" s="52"/>
      <c r="B50" s="52"/>
      <c r="C50" s="52"/>
      <c r="D50" s="51"/>
      <c r="E50" s="51"/>
      <c r="F50" s="51"/>
      <c r="H50" s="57"/>
      <c r="I50" s="66"/>
      <c r="J50" s="52"/>
      <c r="K50" s="52"/>
      <c r="L50" s="66"/>
      <c r="M50" s="66"/>
      <c r="N50" s="65"/>
      <c r="O50" s="62"/>
      <c r="P50" s="1"/>
      <c r="Q50" s="1"/>
      <c r="U50" s="71"/>
      <c r="V50">
        <f t="shared" si="10"/>
        <v>0</v>
      </c>
      <c r="W50">
        <f t="shared" si="11"/>
        <v>0</v>
      </c>
      <c r="X50">
        <f t="shared" si="12"/>
        <v>0</v>
      </c>
      <c r="Y50">
        <f t="shared" si="13"/>
        <v>0</v>
      </c>
      <c r="Z50">
        <f t="shared" si="14"/>
        <v>0</v>
      </c>
      <c r="AA50">
        <f t="shared" si="15"/>
        <v>0</v>
      </c>
      <c r="AB50" s="80" t="e">
        <f t="shared" si="16"/>
        <v>#DIV/0!</v>
      </c>
      <c r="AC50" s="80" t="e">
        <f t="shared" si="17"/>
        <v>#DIV/0!</v>
      </c>
      <c r="AD50" s="45" t="e">
        <f t="shared" si="18"/>
        <v>#DIV/0!</v>
      </c>
      <c r="AE50" s="45" t="e">
        <f t="shared" si="19"/>
        <v>#DIV/0!</v>
      </c>
    </row>
    <row r="51" ht="25" customHeight="1" spans="1:31">
      <c r="A51" s="52"/>
      <c r="B51" s="52"/>
      <c r="C51" s="52"/>
      <c r="D51" s="51"/>
      <c r="E51" s="51"/>
      <c r="F51" s="51"/>
      <c r="G51" s="51"/>
      <c r="H51" s="57"/>
      <c r="I51" s="66"/>
      <c r="J51" s="52"/>
      <c r="K51" s="52"/>
      <c r="L51" s="66"/>
      <c r="M51" s="66"/>
      <c r="N51" s="65"/>
      <c r="O51" s="62"/>
      <c r="P51" s="1"/>
      <c r="Q51" s="1"/>
      <c r="U51" s="71"/>
      <c r="V51">
        <f t="shared" si="10"/>
        <v>0</v>
      </c>
      <c r="W51">
        <f t="shared" si="11"/>
        <v>0</v>
      </c>
      <c r="X51">
        <f t="shared" si="12"/>
        <v>0</v>
      </c>
      <c r="Y51">
        <f t="shared" si="13"/>
        <v>0</v>
      </c>
      <c r="Z51">
        <f t="shared" si="14"/>
        <v>0</v>
      </c>
      <c r="AA51">
        <f t="shared" si="15"/>
        <v>0</v>
      </c>
      <c r="AB51" s="80" t="e">
        <f t="shared" si="16"/>
        <v>#DIV/0!</v>
      </c>
      <c r="AC51" s="80" t="e">
        <f t="shared" si="17"/>
        <v>#DIV/0!</v>
      </c>
      <c r="AD51" s="45" t="e">
        <f t="shared" si="18"/>
        <v>#DIV/0!</v>
      </c>
      <c r="AE51" s="45" t="e">
        <f t="shared" si="19"/>
        <v>#DIV/0!</v>
      </c>
    </row>
    <row r="52" ht="25" customHeight="1" spans="1:31">
      <c r="A52" s="52"/>
      <c r="B52" s="52"/>
      <c r="C52" s="52"/>
      <c r="D52" s="51"/>
      <c r="E52" s="51"/>
      <c r="F52" s="51"/>
      <c r="G52" s="51"/>
      <c r="H52" s="57"/>
      <c r="I52" s="66"/>
      <c r="J52" s="52"/>
      <c r="K52" s="52"/>
      <c r="L52" s="66"/>
      <c r="M52" s="66"/>
      <c r="N52" s="65"/>
      <c r="O52" s="62"/>
      <c r="P52" s="1"/>
      <c r="Q52" s="1"/>
      <c r="U52" s="71"/>
      <c r="V52">
        <f t="shared" si="10"/>
        <v>0</v>
      </c>
      <c r="W52">
        <f t="shared" si="11"/>
        <v>0</v>
      </c>
      <c r="X52">
        <f t="shared" si="12"/>
        <v>0</v>
      </c>
      <c r="Y52">
        <f t="shared" si="13"/>
        <v>0</v>
      </c>
      <c r="Z52">
        <f t="shared" si="14"/>
        <v>0</v>
      </c>
      <c r="AA52">
        <f t="shared" si="15"/>
        <v>0</v>
      </c>
      <c r="AB52" s="80" t="e">
        <f t="shared" si="16"/>
        <v>#DIV/0!</v>
      </c>
      <c r="AC52" s="80" t="e">
        <f t="shared" si="17"/>
        <v>#DIV/0!</v>
      </c>
      <c r="AD52" s="45" t="e">
        <f t="shared" si="18"/>
        <v>#DIV/0!</v>
      </c>
      <c r="AE52" s="45" t="e">
        <f t="shared" si="19"/>
        <v>#DIV/0!</v>
      </c>
    </row>
    <row r="53" ht="25" customHeight="1" spans="1:31">
      <c r="A53" s="52"/>
      <c r="B53" s="52"/>
      <c r="C53" s="52"/>
      <c r="D53" s="51"/>
      <c r="E53" s="51"/>
      <c r="F53" s="51"/>
      <c r="G53" s="51"/>
      <c r="H53" s="57"/>
      <c r="I53" s="66"/>
      <c r="J53" s="52"/>
      <c r="K53" s="52"/>
      <c r="L53" s="66"/>
      <c r="M53" s="66"/>
      <c r="N53" s="65"/>
      <c r="O53" s="62"/>
      <c r="P53" s="1"/>
      <c r="Q53" s="1"/>
      <c r="U53" s="71"/>
      <c r="V53">
        <f t="shared" si="10"/>
        <v>0</v>
      </c>
      <c r="W53">
        <f t="shared" si="11"/>
        <v>0</v>
      </c>
      <c r="X53">
        <f t="shared" si="12"/>
        <v>0</v>
      </c>
      <c r="Y53">
        <f t="shared" si="13"/>
        <v>0</v>
      </c>
      <c r="Z53">
        <f t="shared" si="14"/>
        <v>0</v>
      </c>
      <c r="AA53">
        <f t="shared" si="15"/>
        <v>0</v>
      </c>
      <c r="AB53" s="80" t="e">
        <f t="shared" si="16"/>
        <v>#DIV/0!</v>
      </c>
      <c r="AC53" s="80" t="e">
        <f t="shared" si="17"/>
        <v>#DIV/0!</v>
      </c>
      <c r="AD53" s="45" t="e">
        <f t="shared" si="18"/>
        <v>#DIV/0!</v>
      </c>
      <c r="AE53" s="45" t="e">
        <f t="shared" si="19"/>
        <v>#DIV/0!</v>
      </c>
    </row>
    <row r="54" ht="25" customHeight="1" spans="1:31">
      <c r="A54" s="52"/>
      <c r="B54" s="52"/>
      <c r="C54" s="52"/>
      <c r="D54" s="51"/>
      <c r="E54" s="51"/>
      <c r="F54" s="51"/>
      <c r="G54" s="51"/>
      <c r="H54" s="57"/>
      <c r="I54" s="66"/>
      <c r="J54" s="52"/>
      <c r="K54" s="52"/>
      <c r="L54" s="66"/>
      <c r="M54" s="66"/>
      <c r="N54" s="65"/>
      <c r="O54" s="62"/>
      <c r="P54" s="1"/>
      <c r="Q54" s="1"/>
      <c r="U54" s="71"/>
      <c r="V54">
        <f t="shared" si="10"/>
        <v>0</v>
      </c>
      <c r="W54">
        <f t="shared" si="11"/>
        <v>0</v>
      </c>
      <c r="X54">
        <f t="shared" si="12"/>
        <v>0</v>
      </c>
      <c r="Y54">
        <f t="shared" si="13"/>
        <v>0</v>
      </c>
      <c r="Z54">
        <f t="shared" si="14"/>
        <v>0</v>
      </c>
      <c r="AA54">
        <f t="shared" si="15"/>
        <v>0</v>
      </c>
      <c r="AB54" s="80" t="e">
        <f t="shared" si="16"/>
        <v>#DIV/0!</v>
      </c>
      <c r="AC54" s="80" t="e">
        <f t="shared" si="17"/>
        <v>#DIV/0!</v>
      </c>
      <c r="AD54" s="45" t="e">
        <f t="shared" si="18"/>
        <v>#DIV/0!</v>
      </c>
      <c r="AE54" s="45" t="e">
        <f t="shared" si="19"/>
        <v>#DIV/0!</v>
      </c>
    </row>
    <row r="55" ht="25" customHeight="1" spans="1:31">
      <c r="A55" s="52"/>
      <c r="B55" s="52"/>
      <c r="C55" s="52"/>
      <c r="D55" s="51"/>
      <c r="E55" s="51"/>
      <c r="F55" s="51"/>
      <c r="G55" s="51"/>
      <c r="H55" s="57"/>
      <c r="I55" s="66"/>
      <c r="J55" s="52"/>
      <c r="K55" s="52"/>
      <c r="L55" s="66"/>
      <c r="M55" s="66"/>
      <c r="N55" s="65"/>
      <c r="O55" s="62"/>
      <c r="P55" s="1"/>
      <c r="Q55" s="1"/>
      <c r="U55" s="71"/>
      <c r="V55">
        <f t="shared" si="10"/>
        <v>0</v>
      </c>
      <c r="W55">
        <f t="shared" si="11"/>
        <v>0</v>
      </c>
      <c r="X55">
        <f t="shared" si="12"/>
        <v>0</v>
      </c>
      <c r="Y55">
        <f t="shared" si="13"/>
        <v>0</v>
      </c>
      <c r="Z55">
        <f t="shared" si="14"/>
        <v>0</v>
      </c>
      <c r="AA55">
        <f t="shared" si="15"/>
        <v>0</v>
      </c>
      <c r="AB55" s="80" t="e">
        <f t="shared" si="16"/>
        <v>#DIV/0!</v>
      </c>
      <c r="AC55" s="80" t="e">
        <f t="shared" si="17"/>
        <v>#DIV/0!</v>
      </c>
      <c r="AD55" s="45" t="e">
        <f t="shared" si="18"/>
        <v>#DIV/0!</v>
      </c>
      <c r="AE55" s="45" t="e">
        <f t="shared" si="19"/>
        <v>#DIV/0!</v>
      </c>
    </row>
    <row r="56" ht="25" customHeight="1" spans="1:31">
      <c r="A56" s="52"/>
      <c r="B56" s="52"/>
      <c r="C56" s="52"/>
      <c r="D56" s="51"/>
      <c r="E56" s="51"/>
      <c r="F56" s="51"/>
      <c r="G56" s="51"/>
      <c r="H56" s="57"/>
      <c r="I56" s="66"/>
      <c r="J56" s="52"/>
      <c r="K56" s="52"/>
      <c r="L56" s="66"/>
      <c r="M56" s="66"/>
      <c r="N56" s="65"/>
      <c r="O56" s="62"/>
      <c r="P56" s="1"/>
      <c r="Q56" s="1"/>
      <c r="U56" s="71"/>
      <c r="V56">
        <f t="shared" si="10"/>
        <v>0</v>
      </c>
      <c r="W56">
        <f t="shared" si="11"/>
        <v>0</v>
      </c>
      <c r="X56">
        <f t="shared" si="12"/>
        <v>0</v>
      </c>
      <c r="Y56">
        <f t="shared" si="13"/>
        <v>0</v>
      </c>
      <c r="Z56">
        <f t="shared" si="14"/>
        <v>0</v>
      </c>
      <c r="AA56">
        <f t="shared" si="15"/>
        <v>0</v>
      </c>
      <c r="AB56" s="80" t="e">
        <f t="shared" si="16"/>
        <v>#DIV/0!</v>
      </c>
      <c r="AC56" s="80" t="e">
        <f t="shared" si="17"/>
        <v>#DIV/0!</v>
      </c>
      <c r="AD56" s="45" t="e">
        <f t="shared" si="18"/>
        <v>#DIV/0!</v>
      </c>
      <c r="AE56" s="45" t="e">
        <f t="shared" si="19"/>
        <v>#DIV/0!</v>
      </c>
    </row>
    <row r="57" ht="25" customHeight="1" spans="1:31">
      <c r="A57" s="52"/>
      <c r="B57" s="52"/>
      <c r="C57" s="52"/>
      <c r="D57" s="51"/>
      <c r="E57" s="51"/>
      <c r="F57" s="51"/>
      <c r="G57" s="51"/>
      <c r="H57" s="57"/>
      <c r="I57" s="66"/>
      <c r="J57" s="52"/>
      <c r="K57" s="52"/>
      <c r="L57" s="66"/>
      <c r="M57" s="66"/>
      <c r="N57" s="65"/>
      <c r="O57" s="62"/>
      <c r="P57" s="1"/>
      <c r="Q57" s="1"/>
      <c r="U57" s="71"/>
      <c r="V57">
        <f t="shared" si="10"/>
        <v>0</v>
      </c>
      <c r="W57">
        <f t="shared" si="11"/>
        <v>0</v>
      </c>
      <c r="X57">
        <f t="shared" si="12"/>
        <v>0</v>
      </c>
      <c r="Y57">
        <f t="shared" si="13"/>
        <v>0</v>
      </c>
      <c r="Z57">
        <f t="shared" si="14"/>
        <v>0</v>
      </c>
      <c r="AA57">
        <f t="shared" si="15"/>
        <v>0</v>
      </c>
      <c r="AB57" s="80" t="e">
        <f t="shared" si="16"/>
        <v>#DIV/0!</v>
      </c>
      <c r="AC57" s="80" t="e">
        <f t="shared" si="17"/>
        <v>#DIV/0!</v>
      </c>
      <c r="AD57" s="45" t="e">
        <f t="shared" si="18"/>
        <v>#DIV/0!</v>
      </c>
      <c r="AE57" s="45" t="e">
        <f t="shared" si="19"/>
        <v>#DIV/0!</v>
      </c>
    </row>
    <row r="58" ht="25" customHeight="1" spans="1:31">
      <c r="A58" s="52"/>
      <c r="B58" s="52"/>
      <c r="C58" s="52"/>
      <c r="D58" s="51"/>
      <c r="E58" s="51"/>
      <c r="F58" s="51"/>
      <c r="G58" s="51"/>
      <c r="H58" s="57"/>
      <c r="I58" s="66"/>
      <c r="J58" s="52"/>
      <c r="K58" s="52"/>
      <c r="L58" s="66"/>
      <c r="M58" s="66"/>
      <c r="N58" s="65"/>
      <c r="O58" s="62"/>
      <c r="P58" s="1"/>
      <c r="Q58" s="1"/>
      <c r="U58" s="71"/>
      <c r="V58">
        <f t="shared" si="10"/>
        <v>0</v>
      </c>
      <c r="W58">
        <f t="shared" si="11"/>
        <v>0</v>
      </c>
      <c r="X58">
        <f t="shared" si="12"/>
        <v>0</v>
      </c>
      <c r="Y58">
        <f t="shared" si="13"/>
        <v>0</v>
      </c>
      <c r="Z58">
        <f t="shared" si="14"/>
        <v>0</v>
      </c>
      <c r="AA58">
        <f t="shared" si="15"/>
        <v>0</v>
      </c>
      <c r="AB58" s="80" t="e">
        <f t="shared" si="16"/>
        <v>#DIV/0!</v>
      </c>
      <c r="AC58" s="80" t="e">
        <f t="shared" si="17"/>
        <v>#DIV/0!</v>
      </c>
      <c r="AD58" s="45" t="e">
        <f t="shared" si="18"/>
        <v>#DIV/0!</v>
      </c>
      <c r="AE58" s="45" t="e">
        <f t="shared" si="19"/>
        <v>#DIV/0!</v>
      </c>
    </row>
    <row r="59" ht="25" customHeight="1" spans="1:31">
      <c r="A59" s="52"/>
      <c r="B59" s="52"/>
      <c r="C59" s="52"/>
      <c r="D59" s="51"/>
      <c r="E59" s="51"/>
      <c r="F59" s="51"/>
      <c r="G59" s="51"/>
      <c r="H59" s="57"/>
      <c r="I59" s="66"/>
      <c r="J59" s="52"/>
      <c r="K59" s="52"/>
      <c r="L59" s="66"/>
      <c r="M59" s="66"/>
      <c r="N59" s="65"/>
      <c r="O59" s="62"/>
      <c r="P59" s="1"/>
      <c r="Q59" s="1"/>
      <c r="U59" s="71"/>
      <c r="V59">
        <f t="shared" si="10"/>
        <v>0</v>
      </c>
      <c r="W59">
        <f t="shared" si="11"/>
        <v>0</v>
      </c>
      <c r="X59">
        <f t="shared" si="12"/>
        <v>0</v>
      </c>
      <c r="Y59">
        <f t="shared" si="13"/>
        <v>0</v>
      </c>
      <c r="Z59">
        <f t="shared" si="14"/>
        <v>0</v>
      </c>
      <c r="AA59">
        <f t="shared" si="15"/>
        <v>0</v>
      </c>
      <c r="AB59" s="80" t="e">
        <f t="shared" si="16"/>
        <v>#DIV/0!</v>
      </c>
      <c r="AC59" s="80" t="e">
        <f t="shared" si="17"/>
        <v>#DIV/0!</v>
      </c>
      <c r="AD59" s="45" t="e">
        <f t="shared" si="18"/>
        <v>#DIV/0!</v>
      </c>
      <c r="AE59" s="45" t="e">
        <f t="shared" si="19"/>
        <v>#DIV/0!</v>
      </c>
    </row>
    <row r="60" ht="25" customHeight="1" spans="1:31">
      <c r="A60" s="52"/>
      <c r="B60" s="52"/>
      <c r="C60" s="52"/>
      <c r="D60" s="51"/>
      <c r="E60" s="51"/>
      <c r="F60" s="51"/>
      <c r="G60" s="51"/>
      <c r="H60" s="57"/>
      <c r="I60" s="66"/>
      <c r="J60" s="52"/>
      <c r="K60" s="52"/>
      <c r="L60" s="66"/>
      <c r="M60" s="66"/>
      <c r="N60" s="65"/>
      <c r="O60" s="62"/>
      <c r="P60" s="1"/>
      <c r="Q60" s="1"/>
      <c r="U60" s="71"/>
      <c r="V60">
        <f t="shared" si="10"/>
        <v>0</v>
      </c>
      <c r="W60">
        <f t="shared" si="11"/>
        <v>0</v>
      </c>
      <c r="X60">
        <f t="shared" si="12"/>
        <v>0</v>
      </c>
      <c r="Y60">
        <f t="shared" si="13"/>
        <v>0</v>
      </c>
      <c r="Z60">
        <f t="shared" si="14"/>
        <v>0</v>
      </c>
      <c r="AA60">
        <f t="shared" si="15"/>
        <v>0</v>
      </c>
      <c r="AB60" s="80" t="e">
        <f t="shared" si="16"/>
        <v>#DIV/0!</v>
      </c>
      <c r="AC60" s="80" t="e">
        <f t="shared" si="17"/>
        <v>#DIV/0!</v>
      </c>
      <c r="AD60" s="45" t="e">
        <f t="shared" si="18"/>
        <v>#DIV/0!</v>
      </c>
      <c r="AE60" s="45" t="e">
        <f t="shared" si="19"/>
        <v>#DIV/0!</v>
      </c>
    </row>
    <row r="61" ht="25" customHeight="1" spans="1:31">
      <c r="A61" s="52"/>
      <c r="B61" s="52"/>
      <c r="C61" s="52"/>
      <c r="D61" s="51"/>
      <c r="E61" s="51"/>
      <c r="F61" s="51"/>
      <c r="G61" s="51"/>
      <c r="H61" s="57"/>
      <c r="I61" s="66"/>
      <c r="J61" s="52"/>
      <c r="K61" s="52"/>
      <c r="L61" s="66"/>
      <c r="M61" s="66"/>
      <c r="N61" s="65"/>
      <c r="O61" s="62"/>
      <c r="P61" s="1"/>
      <c r="Q61" s="1"/>
      <c r="U61" s="71"/>
      <c r="V61">
        <f t="shared" si="10"/>
        <v>0</v>
      </c>
      <c r="W61">
        <f t="shared" si="11"/>
        <v>0</v>
      </c>
      <c r="X61">
        <f t="shared" si="12"/>
        <v>0</v>
      </c>
      <c r="Y61">
        <f t="shared" si="13"/>
        <v>0</v>
      </c>
      <c r="Z61">
        <f t="shared" si="14"/>
        <v>0</v>
      </c>
      <c r="AA61">
        <f t="shared" si="15"/>
        <v>0</v>
      </c>
      <c r="AB61" s="80" t="e">
        <f t="shared" si="16"/>
        <v>#DIV/0!</v>
      </c>
      <c r="AC61" s="80" t="e">
        <f t="shared" si="17"/>
        <v>#DIV/0!</v>
      </c>
      <c r="AD61" s="45" t="e">
        <f t="shared" si="18"/>
        <v>#DIV/0!</v>
      </c>
      <c r="AE61" s="45" t="e">
        <f t="shared" si="19"/>
        <v>#DIV/0!</v>
      </c>
    </row>
    <row r="62" ht="25" customHeight="1" spans="1:31">
      <c r="A62" s="52"/>
      <c r="B62" s="52"/>
      <c r="C62" s="52"/>
      <c r="D62" s="51"/>
      <c r="E62" s="51"/>
      <c r="F62" s="51"/>
      <c r="G62" s="51"/>
      <c r="H62" s="57"/>
      <c r="I62" s="66"/>
      <c r="J62" s="52"/>
      <c r="K62" s="52"/>
      <c r="L62" s="66"/>
      <c r="M62" s="66"/>
      <c r="N62" s="65"/>
      <c r="O62" s="62"/>
      <c r="P62" s="1"/>
      <c r="Q62" s="1"/>
      <c r="U62" s="71"/>
      <c r="V62">
        <f t="shared" si="10"/>
        <v>0</v>
      </c>
      <c r="W62">
        <f t="shared" si="11"/>
        <v>0</v>
      </c>
      <c r="X62">
        <f t="shared" si="12"/>
        <v>0</v>
      </c>
      <c r="Y62">
        <f t="shared" si="13"/>
        <v>0</v>
      </c>
      <c r="Z62">
        <f t="shared" si="14"/>
        <v>0</v>
      </c>
      <c r="AA62">
        <f t="shared" si="15"/>
        <v>0</v>
      </c>
      <c r="AB62" s="80" t="e">
        <f t="shared" si="16"/>
        <v>#DIV/0!</v>
      </c>
      <c r="AC62" s="80" t="e">
        <f t="shared" si="17"/>
        <v>#DIV/0!</v>
      </c>
      <c r="AD62" s="45" t="e">
        <f t="shared" si="18"/>
        <v>#DIV/0!</v>
      </c>
      <c r="AE62" s="45" t="e">
        <f t="shared" si="19"/>
        <v>#DIV/0!</v>
      </c>
    </row>
    <row r="63" ht="25" customHeight="1" spans="1:31">
      <c r="A63" s="52"/>
      <c r="B63" s="52"/>
      <c r="C63" s="52"/>
      <c r="D63" s="51"/>
      <c r="E63" s="51"/>
      <c r="F63" s="51"/>
      <c r="G63" s="51"/>
      <c r="H63" s="57"/>
      <c r="I63" s="66"/>
      <c r="J63" s="52"/>
      <c r="K63" s="52"/>
      <c r="L63" s="66"/>
      <c r="M63" s="66"/>
      <c r="N63" s="65"/>
      <c r="O63" s="62"/>
      <c r="P63" s="1"/>
      <c r="Q63" s="1"/>
      <c r="U63" s="71"/>
      <c r="V63">
        <f t="shared" si="10"/>
        <v>0</v>
      </c>
      <c r="W63">
        <f t="shared" si="11"/>
        <v>0</v>
      </c>
      <c r="X63">
        <f t="shared" si="12"/>
        <v>0</v>
      </c>
      <c r="Y63">
        <f t="shared" si="13"/>
        <v>0</v>
      </c>
      <c r="Z63">
        <f t="shared" si="14"/>
        <v>0</v>
      </c>
      <c r="AA63">
        <f t="shared" si="15"/>
        <v>0</v>
      </c>
      <c r="AB63" s="80" t="e">
        <f t="shared" si="16"/>
        <v>#DIV/0!</v>
      </c>
      <c r="AC63" s="80" t="e">
        <f t="shared" si="17"/>
        <v>#DIV/0!</v>
      </c>
      <c r="AD63" s="45" t="e">
        <f t="shared" si="18"/>
        <v>#DIV/0!</v>
      </c>
      <c r="AE63" s="45" t="e">
        <f t="shared" si="19"/>
        <v>#DIV/0!</v>
      </c>
    </row>
    <row r="64" ht="25" customHeight="1" spans="1:31">
      <c r="A64" s="52"/>
      <c r="B64" s="52"/>
      <c r="C64" s="52"/>
      <c r="D64" s="51"/>
      <c r="E64" s="51"/>
      <c r="F64" s="51"/>
      <c r="G64" s="51"/>
      <c r="H64" s="57"/>
      <c r="I64" s="66"/>
      <c r="J64" s="52"/>
      <c r="K64" s="52"/>
      <c r="L64" s="66"/>
      <c r="M64" s="66"/>
      <c r="N64" s="65"/>
      <c r="O64" s="62"/>
      <c r="P64" s="1"/>
      <c r="Q64" s="1"/>
      <c r="U64" s="71"/>
      <c r="V64">
        <f t="shared" si="10"/>
        <v>0</v>
      </c>
      <c r="W64">
        <f t="shared" si="11"/>
        <v>0</v>
      </c>
      <c r="X64">
        <f t="shared" si="12"/>
        <v>0</v>
      </c>
      <c r="Y64">
        <f t="shared" si="13"/>
        <v>0</v>
      </c>
      <c r="Z64">
        <f t="shared" si="14"/>
        <v>0</v>
      </c>
      <c r="AA64">
        <f t="shared" si="15"/>
        <v>0</v>
      </c>
      <c r="AB64" s="80" t="e">
        <f t="shared" si="16"/>
        <v>#DIV/0!</v>
      </c>
      <c r="AC64" s="80" t="e">
        <f t="shared" si="17"/>
        <v>#DIV/0!</v>
      </c>
      <c r="AD64" s="45" t="e">
        <f t="shared" si="18"/>
        <v>#DIV/0!</v>
      </c>
      <c r="AE64" s="45" t="e">
        <f t="shared" si="19"/>
        <v>#DIV/0!</v>
      </c>
    </row>
    <row r="65" ht="25" customHeight="1" spans="1:31">
      <c r="A65" s="52"/>
      <c r="B65" s="52"/>
      <c r="C65" s="52"/>
      <c r="D65" s="51"/>
      <c r="E65" s="51"/>
      <c r="F65" s="51"/>
      <c r="G65" s="51"/>
      <c r="H65" s="57"/>
      <c r="I65" s="66"/>
      <c r="J65" s="52"/>
      <c r="K65" s="52"/>
      <c r="L65" s="66"/>
      <c r="M65" s="66"/>
      <c r="N65" s="65"/>
      <c r="O65" s="62"/>
      <c r="P65" s="1"/>
      <c r="Q65" s="1"/>
      <c r="U65" s="71"/>
      <c r="V65">
        <f t="shared" si="10"/>
        <v>0</v>
      </c>
      <c r="W65">
        <f t="shared" si="11"/>
        <v>0</v>
      </c>
      <c r="X65">
        <f t="shared" si="12"/>
        <v>0</v>
      </c>
      <c r="Y65">
        <f t="shared" si="13"/>
        <v>0</v>
      </c>
      <c r="Z65">
        <f t="shared" si="14"/>
        <v>0</v>
      </c>
      <c r="AA65">
        <f t="shared" si="15"/>
        <v>0</v>
      </c>
      <c r="AB65" s="80" t="e">
        <f t="shared" si="16"/>
        <v>#DIV/0!</v>
      </c>
      <c r="AC65" s="80" t="e">
        <f t="shared" si="17"/>
        <v>#DIV/0!</v>
      </c>
      <c r="AD65" s="45" t="e">
        <f t="shared" si="18"/>
        <v>#DIV/0!</v>
      </c>
      <c r="AE65" s="45" t="e">
        <f t="shared" si="19"/>
        <v>#DIV/0!</v>
      </c>
    </row>
    <row r="66" ht="25" customHeight="1" spans="1:31">
      <c r="A66" s="52"/>
      <c r="B66" s="52"/>
      <c r="C66" s="52"/>
      <c r="D66" s="51"/>
      <c r="E66" s="51"/>
      <c r="F66" s="51"/>
      <c r="G66" s="51"/>
      <c r="H66" s="57"/>
      <c r="I66" s="66"/>
      <c r="J66" s="52"/>
      <c r="K66" s="52"/>
      <c r="L66" s="66"/>
      <c r="M66" s="66"/>
      <c r="N66" s="65"/>
      <c r="O66" s="62"/>
      <c r="P66" s="1"/>
      <c r="Q66" s="1"/>
      <c r="U66" s="71"/>
      <c r="V66">
        <f t="shared" si="10"/>
        <v>0</v>
      </c>
      <c r="W66">
        <f t="shared" si="11"/>
        <v>0</v>
      </c>
      <c r="X66">
        <f t="shared" si="12"/>
        <v>0</v>
      </c>
      <c r="Y66">
        <f t="shared" si="13"/>
        <v>0</v>
      </c>
      <c r="Z66">
        <f t="shared" si="14"/>
        <v>0</v>
      </c>
      <c r="AA66">
        <f t="shared" si="15"/>
        <v>0</v>
      </c>
      <c r="AB66" s="80" t="e">
        <f t="shared" si="16"/>
        <v>#DIV/0!</v>
      </c>
      <c r="AC66" s="80" t="e">
        <f t="shared" si="17"/>
        <v>#DIV/0!</v>
      </c>
      <c r="AD66" s="45" t="e">
        <f t="shared" si="18"/>
        <v>#DIV/0!</v>
      </c>
      <c r="AE66" s="45" t="e">
        <f t="shared" si="19"/>
        <v>#DIV/0!</v>
      </c>
    </row>
    <row r="67" ht="25" customHeight="1" spans="1:31">
      <c r="A67" s="52"/>
      <c r="B67" s="52"/>
      <c r="C67" s="52"/>
      <c r="D67" s="51"/>
      <c r="E67" s="51"/>
      <c r="F67" s="51"/>
      <c r="G67" s="51"/>
      <c r="H67" s="57"/>
      <c r="I67" s="66"/>
      <c r="J67" s="52"/>
      <c r="K67" s="52"/>
      <c r="L67" s="66"/>
      <c r="M67" s="66"/>
      <c r="N67" s="65"/>
      <c r="O67" s="62"/>
      <c r="P67" s="1"/>
      <c r="Q67" s="1"/>
      <c r="U67" s="71"/>
      <c r="V67">
        <f t="shared" ref="V67:X67" si="20">R67*1000/10000*0.95</f>
        <v>0</v>
      </c>
      <c r="W67">
        <f t="shared" si="20"/>
        <v>0</v>
      </c>
      <c r="X67">
        <f t="shared" si="20"/>
        <v>0</v>
      </c>
      <c r="Y67">
        <f t="shared" ref="Y67:Y104" si="21">MIN(V67:X67)</f>
        <v>0</v>
      </c>
      <c r="Z67">
        <f t="shared" ref="Z67:Z104" si="22">MEDIAN(V67:X67)</f>
        <v>0</v>
      </c>
      <c r="AA67">
        <f t="shared" ref="AA67:AA104" si="23">MAX(V67:X67)</f>
        <v>0</v>
      </c>
      <c r="AB67" s="80" t="e">
        <f t="shared" ref="AB67:AB104" si="24">ABS(Y67-Z67)/Z67</f>
        <v>#DIV/0!</v>
      </c>
      <c r="AC67" s="80" t="e">
        <f t="shared" ref="AC67:AC104" si="25">ABS(Z67-AA67)/Z67</f>
        <v>#DIV/0!</v>
      </c>
      <c r="AD67" s="45" t="e">
        <f t="shared" si="18"/>
        <v>#DIV/0!</v>
      </c>
      <c r="AE67" s="45" t="e">
        <f t="shared" si="19"/>
        <v>#DIV/0!</v>
      </c>
    </row>
    <row r="68" ht="25" customHeight="1" spans="1:31">
      <c r="A68" s="52"/>
      <c r="B68" s="52"/>
      <c r="C68" s="52"/>
      <c r="D68" s="51"/>
      <c r="E68" s="51"/>
      <c r="F68" s="51"/>
      <c r="G68" s="51"/>
      <c r="H68" s="57"/>
      <c r="I68" s="66"/>
      <c r="J68" s="52"/>
      <c r="K68" s="52"/>
      <c r="L68" s="66"/>
      <c r="M68" s="66"/>
      <c r="N68" s="65"/>
      <c r="O68" s="62"/>
      <c r="P68" s="1"/>
      <c r="Q68" s="1"/>
      <c r="U68" s="71"/>
      <c r="V68">
        <f t="shared" ref="V68:V104" si="26">R68*1000/10000*0.95</f>
        <v>0</v>
      </c>
      <c r="W68">
        <f t="shared" ref="W68:W104" si="27">S68*1000/10000*0.95</f>
        <v>0</v>
      </c>
      <c r="X68">
        <f t="shared" ref="X68:X104" si="28">T68*1000/10000*0.95</f>
        <v>0</v>
      </c>
      <c r="Y68">
        <f t="shared" si="21"/>
        <v>0</v>
      </c>
      <c r="Z68">
        <f t="shared" si="22"/>
        <v>0</v>
      </c>
      <c r="AA68">
        <f t="shared" si="23"/>
        <v>0</v>
      </c>
      <c r="AB68" s="80" t="e">
        <f t="shared" si="24"/>
        <v>#DIV/0!</v>
      </c>
      <c r="AC68" s="80" t="e">
        <f t="shared" si="25"/>
        <v>#DIV/0!</v>
      </c>
      <c r="AD68" s="45" t="e">
        <f t="shared" si="18"/>
        <v>#DIV/0!</v>
      </c>
      <c r="AE68" s="45" t="e">
        <f t="shared" si="19"/>
        <v>#DIV/0!</v>
      </c>
    </row>
    <row r="69" ht="25" customHeight="1" spans="1:31">
      <c r="A69" s="52"/>
      <c r="B69" s="52"/>
      <c r="C69" s="52"/>
      <c r="D69" s="51"/>
      <c r="E69" s="51"/>
      <c r="F69" s="51"/>
      <c r="G69" s="51"/>
      <c r="H69" s="57"/>
      <c r="I69" s="66"/>
      <c r="J69" s="52"/>
      <c r="K69" s="52"/>
      <c r="L69" s="66"/>
      <c r="M69" s="66"/>
      <c r="N69" s="65"/>
      <c r="O69" s="62"/>
      <c r="P69" s="1"/>
      <c r="Q69" s="1"/>
      <c r="U69" s="71"/>
      <c r="V69">
        <f t="shared" si="26"/>
        <v>0</v>
      </c>
      <c r="W69">
        <f t="shared" si="27"/>
        <v>0</v>
      </c>
      <c r="X69">
        <f t="shared" si="28"/>
        <v>0</v>
      </c>
      <c r="Y69">
        <f t="shared" si="21"/>
        <v>0</v>
      </c>
      <c r="Z69">
        <f t="shared" si="22"/>
        <v>0</v>
      </c>
      <c r="AA69">
        <f t="shared" si="23"/>
        <v>0</v>
      </c>
      <c r="AB69" s="80" t="e">
        <f t="shared" si="24"/>
        <v>#DIV/0!</v>
      </c>
      <c r="AC69" s="80" t="e">
        <f t="shared" si="25"/>
        <v>#DIV/0!</v>
      </c>
      <c r="AD69" s="45" t="e">
        <f t="shared" si="18"/>
        <v>#DIV/0!</v>
      </c>
      <c r="AE69" s="45" t="e">
        <f t="shared" si="19"/>
        <v>#DIV/0!</v>
      </c>
    </row>
    <row r="70" ht="25" customHeight="1" spans="1:31">
      <c r="A70" s="52"/>
      <c r="B70" s="52"/>
      <c r="C70" s="52"/>
      <c r="D70" s="51"/>
      <c r="E70" s="51"/>
      <c r="F70" s="51"/>
      <c r="G70" s="51"/>
      <c r="H70" s="57"/>
      <c r="I70" s="66"/>
      <c r="J70" s="52"/>
      <c r="K70" s="52"/>
      <c r="L70" s="66"/>
      <c r="M70" s="66"/>
      <c r="N70" s="65"/>
      <c r="O70" s="62"/>
      <c r="P70" s="1"/>
      <c r="Q70" s="1"/>
      <c r="U70" s="71"/>
      <c r="V70">
        <f t="shared" si="26"/>
        <v>0</v>
      </c>
      <c r="W70">
        <f t="shared" si="27"/>
        <v>0</v>
      </c>
      <c r="X70">
        <f t="shared" si="28"/>
        <v>0</v>
      </c>
      <c r="Y70">
        <f t="shared" si="21"/>
        <v>0</v>
      </c>
      <c r="Z70">
        <f t="shared" si="22"/>
        <v>0</v>
      </c>
      <c r="AA70">
        <f t="shared" si="23"/>
        <v>0</v>
      </c>
      <c r="AB70" s="80" t="e">
        <f t="shared" si="24"/>
        <v>#DIV/0!</v>
      </c>
      <c r="AC70" s="80" t="e">
        <f t="shared" si="25"/>
        <v>#DIV/0!</v>
      </c>
      <c r="AD70" s="45" t="e">
        <f t="shared" si="18"/>
        <v>#DIV/0!</v>
      </c>
      <c r="AE70" s="45" t="e">
        <f t="shared" si="19"/>
        <v>#DIV/0!</v>
      </c>
    </row>
    <row r="71" ht="25" customHeight="1" spans="1:31">
      <c r="A71" s="52"/>
      <c r="B71" s="52"/>
      <c r="C71" s="52"/>
      <c r="D71" s="51"/>
      <c r="E71" s="51"/>
      <c r="F71" s="51"/>
      <c r="G71" s="51"/>
      <c r="H71" s="57"/>
      <c r="I71" s="66"/>
      <c r="J71" s="52"/>
      <c r="K71" s="52"/>
      <c r="L71" s="66"/>
      <c r="M71" s="66"/>
      <c r="N71" s="65"/>
      <c r="O71" s="62"/>
      <c r="P71" s="1"/>
      <c r="Q71" s="1"/>
      <c r="U71" s="71"/>
      <c r="V71">
        <f t="shared" si="26"/>
        <v>0</v>
      </c>
      <c r="W71">
        <f t="shared" si="27"/>
        <v>0</v>
      </c>
      <c r="X71">
        <f t="shared" si="28"/>
        <v>0</v>
      </c>
      <c r="Y71">
        <f t="shared" si="21"/>
        <v>0</v>
      </c>
      <c r="Z71">
        <f t="shared" si="22"/>
        <v>0</v>
      </c>
      <c r="AA71">
        <f t="shared" si="23"/>
        <v>0</v>
      </c>
      <c r="AB71" s="80" t="e">
        <f t="shared" si="24"/>
        <v>#DIV/0!</v>
      </c>
      <c r="AC71" s="80" t="e">
        <f t="shared" si="25"/>
        <v>#DIV/0!</v>
      </c>
      <c r="AD71" s="45" t="e">
        <f t="shared" si="18"/>
        <v>#DIV/0!</v>
      </c>
      <c r="AE71" s="45" t="e">
        <f t="shared" si="19"/>
        <v>#DIV/0!</v>
      </c>
    </row>
    <row r="72" spans="1:31">
      <c r="A72" s="52"/>
      <c r="B72" s="52"/>
      <c r="C72" s="52"/>
      <c r="D72" s="51"/>
      <c r="E72" s="51"/>
      <c r="F72" s="51"/>
      <c r="G72" s="51"/>
      <c r="H72" s="57"/>
      <c r="I72" s="66"/>
      <c r="J72" s="52"/>
      <c r="K72" s="52"/>
      <c r="L72" s="66"/>
      <c r="M72" s="66"/>
      <c r="N72" s="65"/>
      <c r="O72" s="62"/>
      <c r="P72" s="1"/>
      <c r="Q72" s="1"/>
      <c r="U72" s="71"/>
      <c r="V72">
        <f t="shared" si="26"/>
        <v>0</v>
      </c>
      <c r="W72">
        <f t="shared" si="27"/>
        <v>0</v>
      </c>
      <c r="X72">
        <f t="shared" si="28"/>
        <v>0</v>
      </c>
      <c r="Y72">
        <f t="shared" si="21"/>
        <v>0</v>
      </c>
      <c r="Z72">
        <f t="shared" si="22"/>
        <v>0</v>
      </c>
      <c r="AA72">
        <f t="shared" si="23"/>
        <v>0</v>
      </c>
      <c r="AB72" s="80" t="e">
        <f t="shared" si="24"/>
        <v>#DIV/0!</v>
      </c>
      <c r="AC72" s="80" t="e">
        <f t="shared" si="25"/>
        <v>#DIV/0!</v>
      </c>
      <c r="AD72" s="45" t="e">
        <f t="shared" si="18"/>
        <v>#DIV/0!</v>
      </c>
      <c r="AE72" s="45" t="e">
        <f t="shared" si="19"/>
        <v>#DIV/0!</v>
      </c>
    </row>
    <row r="73" spans="1:31">
      <c r="A73" s="52"/>
      <c r="B73" s="52"/>
      <c r="C73" s="52"/>
      <c r="D73" s="51"/>
      <c r="E73" s="51"/>
      <c r="F73" s="51"/>
      <c r="G73" s="51"/>
      <c r="H73" s="57"/>
      <c r="I73" s="66"/>
      <c r="J73" s="52"/>
      <c r="K73" s="52"/>
      <c r="L73" s="66"/>
      <c r="M73" s="66"/>
      <c r="N73" s="65"/>
      <c r="O73" s="62"/>
      <c r="P73" s="1"/>
      <c r="Q73" s="1"/>
      <c r="U73" s="71"/>
      <c r="V73">
        <f t="shared" si="26"/>
        <v>0</v>
      </c>
      <c r="W73">
        <f t="shared" si="27"/>
        <v>0</v>
      </c>
      <c r="X73">
        <f t="shared" si="28"/>
        <v>0</v>
      </c>
      <c r="Y73">
        <f t="shared" si="21"/>
        <v>0</v>
      </c>
      <c r="Z73">
        <f t="shared" si="22"/>
        <v>0</v>
      </c>
      <c r="AA73">
        <f t="shared" si="23"/>
        <v>0</v>
      </c>
      <c r="AB73" s="80" t="e">
        <f t="shared" si="24"/>
        <v>#DIV/0!</v>
      </c>
      <c r="AC73" s="80" t="e">
        <f t="shared" si="25"/>
        <v>#DIV/0!</v>
      </c>
      <c r="AD73" s="45" t="e">
        <f t="shared" si="18"/>
        <v>#DIV/0!</v>
      </c>
      <c r="AE73" s="45" t="e">
        <f t="shared" si="19"/>
        <v>#DIV/0!</v>
      </c>
    </row>
    <row r="74" spans="1:31">
      <c r="A74" s="52"/>
      <c r="B74" s="52"/>
      <c r="C74" s="52"/>
      <c r="D74" s="51"/>
      <c r="E74" s="51"/>
      <c r="F74" s="51"/>
      <c r="G74" s="51"/>
      <c r="H74" s="57"/>
      <c r="I74" s="66"/>
      <c r="J74" s="52"/>
      <c r="K74" s="52"/>
      <c r="L74" s="66"/>
      <c r="M74" s="66"/>
      <c r="N74" s="65"/>
      <c r="O74" s="62"/>
      <c r="P74" s="1"/>
      <c r="Q74" s="1"/>
      <c r="U74" s="71"/>
      <c r="V74">
        <f t="shared" si="26"/>
        <v>0</v>
      </c>
      <c r="W74">
        <f t="shared" si="27"/>
        <v>0</v>
      </c>
      <c r="X74">
        <f t="shared" si="28"/>
        <v>0</v>
      </c>
      <c r="Y74">
        <f t="shared" si="21"/>
        <v>0</v>
      </c>
      <c r="Z74">
        <f t="shared" si="22"/>
        <v>0</v>
      </c>
      <c r="AA74">
        <f t="shared" si="23"/>
        <v>0</v>
      </c>
      <c r="AB74" s="80" t="e">
        <f t="shared" si="24"/>
        <v>#DIV/0!</v>
      </c>
      <c r="AC74" s="80" t="e">
        <f t="shared" si="25"/>
        <v>#DIV/0!</v>
      </c>
      <c r="AD74" s="45" t="e">
        <f t="shared" si="18"/>
        <v>#DIV/0!</v>
      </c>
      <c r="AE74" s="45" t="e">
        <f t="shared" si="19"/>
        <v>#DIV/0!</v>
      </c>
    </row>
    <row r="75" spans="1:31">
      <c r="A75" s="52"/>
      <c r="B75" s="52"/>
      <c r="C75" s="52"/>
      <c r="D75" s="51"/>
      <c r="E75" s="51"/>
      <c r="F75" s="51"/>
      <c r="G75" s="51"/>
      <c r="H75" s="57"/>
      <c r="I75" s="66"/>
      <c r="J75" s="52"/>
      <c r="K75" s="52"/>
      <c r="L75" s="66"/>
      <c r="M75" s="66"/>
      <c r="N75" s="65"/>
      <c r="O75" s="62"/>
      <c r="P75" s="1"/>
      <c r="Q75" s="1"/>
      <c r="U75" s="71"/>
      <c r="V75">
        <f t="shared" si="26"/>
        <v>0</v>
      </c>
      <c r="W75">
        <f t="shared" si="27"/>
        <v>0</v>
      </c>
      <c r="X75">
        <f t="shared" si="28"/>
        <v>0</v>
      </c>
      <c r="Y75">
        <f t="shared" si="21"/>
        <v>0</v>
      </c>
      <c r="Z75">
        <f t="shared" si="22"/>
        <v>0</v>
      </c>
      <c r="AA75">
        <f t="shared" si="23"/>
        <v>0</v>
      </c>
      <c r="AB75" s="80" t="e">
        <f t="shared" si="24"/>
        <v>#DIV/0!</v>
      </c>
      <c r="AC75" s="80" t="e">
        <f t="shared" si="25"/>
        <v>#DIV/0!</v>
      </c>
      <c r="AD75" s="45" t="e">
        <f t="shared" si="18"/>
        <v>#DIV/0!</v>
      </c>
      <c r="AE75" s="45" t="e">
        <f t="shared" si="19"/>
        <v>#DIV/0!</v>
      </c>
    </row>
    <row r="76" spans="1:31">
      <c r="A76" s="52"/>
      <c r="B76" s="52"/>
      <c r="C76" s="52"/>
      <c r="D76" s="51"/>
      <c r="E76" s="51"/>
      <c r="F76" s="51"/>
      <c r="G76" s="51"/>
      <c r="H76" s="57"/>
      <c r="I76" s="66"/>
      <c r="J76" s="52"/>
      <c r="K76" s="52"/>
      <c r="L76" s="66"/>
      <c r="M76" s="66"/>
      <c r="N76" s="65"/>
      <c r="O76" s="62"/>
      <c r="P76" s="1"/>
      <c r="Q76" s="1"/>
      <c r="U76" s="71"/>
      <c r="V76">
        <f t="shared" si="26"/>
        <v>0</v>
      </c>
      <c r="W76">
        <f t="shared" si="27"/>
        <v>0</v>
      </c>
      <c r="X76">
        <f t="shared" si="28"/>
        <v>0</v>
      </c>
      <c r="Y76">
        <f t="shared" si="21"/>
        <v>0</v>
      </c>
      <c r="Z76">
        <f t="shared" si="22"/>
        <v>0</v>
      </c>
      <c r="AA76">
        <f t="shared" si="23"/>
        <v>0</v>
      </c>
      <c r="AB76" s="80" t="e">
        <f t="shared" si="24"/>
        <v>#DIV/0!</v>
      </c>
      <c r="AC76" s="80" t="e">
        <f t="shared" si="25"/>
        <v>#DIV/0!</v>
      </c>
      <c r="AD76" s="45" t="e">
        <f t="shared" si="18"/>
        <v>#DIV/0!</v>
      </c>
      <c r="AE76" s="45" t="e">
        <f t="shared" si="19"/>
        <v>#DIV/0!</v>
      </c>
    </row>
    <row r="77" spans="1:31">
      <c r="A77" s="52"/>
      <c r="B77" s="52"/>
      <c r="C77" s="52"/>
      <c r="D77" s="51"/>
      <c r="E77" s="51"/>
      <c r="F77" s="51"/>
      <c r="G77" s="51"/>
      <c r="H77" s="57"/>
      <c r="I77" s="66"/>
      <c r="J77" s="52"/>
      <c r="K77" s="52"/>
      <c r="L77" s="66"/>
      <c r="M77" s="66"/>
      <c r="N77" s="65"/>
      <c r="O77" s="62"/>
      <c r="P77" s="1"/>
      <c r="Q77" s="1"/>
      <c r="U77" s="71"/>
      <c r="V77">
        <f t="shared" si="26"/>
        <v>0</v>
      </c>
      <c r="W77">
        <f t="shared" si="27"/>
        <v>0</v>
      </c>
      <c r="X77">
        <f t="shared" si="28"/>
        <v>0</v>
      </c>
      <c r="Y77">
        <f t="shared" si="21"/>
        <v>0</v>
      </c>
      <c r="Z77">
        <f t="shared" si="22"/>
        <v>0</v>
      </c>
      <c r="AA77">
        <f t="shared" si="23"/>
        <v>0</v>
      </c>
      <c r="AB77" s="80" t="e">
        <f t="shared" si="24"/>
        <v>#DIV/0!</v>
      </c>
      <c r="AC77" s="80" t="e">
        <f t="shared" si="25"/>
        <v>#DIV/0!</v>
      </c>
      <c r="AD77" s="45" t="e">
        <f t="shared" si="18"/>
        <v>#DIV/0!</v>
      </c>
      <c r="AE77" s="45" t="e">
        <f t="shared" si="19"/>
        <v>#DIV/0!</v>
      </c>
    </row>
    <row r="78" spans="1:31">
      <c r="A78" s="52"/>
      <c r="B78" s="52"/>
      <c r="C78" s="52"/>
      <c r="D78" s="51"/>
      <c r="E78" s="51"/>
      <c r="F78" s="51"/>
      <c r="G78" s="51"/>
      <c r="H78" s="57"/>
      <c r="I78" s="66"/>
      <c r="J78" s="52"/>
      <c r="K78" s="52"/>
      <c r="L78" s="66"/>
      <c r="M78" s="66"/>
      <c r="N78" s="65"/>
      <c r="O78" s="62"/>
      <c r="P78" s="1"/>
      <c r="Q78" s="1"/>
      <c r="U78" s="71"/>
      <c r="V78">
        <f t="shared" si="26"/>
        <v>0</v>
      </c>
      <c r="W78">
        <f t="shared" si="27"/>
        <v>0</v>
      </c>
      <c r="X78">
        <f t="shared" si="28"/>
        <v>0</v>
      </c>
      <c r="Y78">
        <f t="shared" si="21"/>
        <v>0</v>
      </c>
      <c r="Z78">
        <f t="shared" si="22"/>
        <v>0</v>
      </c>
      <c r="AA78">
        <f t="shared" si="23"/>
        <v>0</v>
      </c>
      <c r="AB78" s="80" t="e">
        <f t="shared" si="24"/>
        <v>#DIV/0!</v>
      </c>
      <c r="AC78" s="80" t="e">
        <f t="shared" si="25"/>
        <v>#DIV/0!</v>
      </c>
      <c r="AD78" s="45" t="e">
        <f t="shared" si="18"/>
        <v>#DIV/0!</v>
      </c>
      <c r="AE78" s="45" t="e">
        <f t="shared" si="19"/>
        <v>#DIV/0!</v>
      </c>
    </row>
    <row r="79" spans="1:31">
      <c r="A79" s="1"/>
      <c r="B79" s="52"/>
      <c r="C79" s="52"/>
      <c r="D79" s="51"/>
      <c r="E79" s="51"/>
      <c r="F79" s="51"/>
      <c r="G79" s="51"/>
      <c r="H79" s="57"/>
      <c r="I79" s="66"/>
      <c r="J79" s="52"/>
      <c r="K79" s="52"/>
      <c r="L79" s="66"/>
      <c r="M79" s="66"/>
      <c r="N79" s="65"/>
      <c r="O79" s="62"/>
      <c r="P79" s="1"/>
      <c r="Q79" s="1"/>
      <c r="U79" s="71"/>
      <c r="V79">
        <f t="shared" si="26"/>
        <v>0</v>
      </c>
      <c r="W79">
        <f t="shared" si="27"/>
        <v>0</v>
      </c>
      <c r="X79">
        <f t="shared" si="28"/>
        <v>0</v>
      </c>
      <c r="Y79">
        <f t="shared" si="21"/>
        <v>0</v>
      </c>
      <c r="Z79">
        <f t="shared" si="22"/>
        <v>0</v>
      </c>
      <c r="AA79">
        <f t="shared" si="23"/>
        <v>0</v>
      </c>
      <c r="AB79" s="80" t="e">
        <f t="shared" si="24"/>
        <v>#DIV/0!</v>
      </c>
      <c r="AC79" s="80" t="e">
        <f t="shared" si="25"/>
        <v>#DIV/0!</v>
      </c>
      <c r="AD79" s="45" t="e">
        <f t="shared" ref="AD79:AD104" si="29">ROUND(IF(AND(AB79&lt;15%,AC79&lt;15%),AVERAGE(V79:X79),IF(OR(AB79&gt;15%,AC79&gt;15%),Z79,IF(AND(AB79&gt;15%,AC79&gt;15%),"结果无效"))),1)</f>
        <v>#DIV/0!</v>
      </c>
      <c r="AE79" s="45" t="e">
        <f t="shared" ref="AE79:AE104" si="30">U79-AD79</f>
        <v>#DIV/0!</v>
      </c>
    </row>
    <row r="80" spans="1:31">
      <c r="A80" s="1"/>
      <c r="B80" s="52"/>
      <c r="C80" s="52"/>
      <c r="D80" s="51"/>
      <c r="E80" s="51"/>
      <c r="F80" s="51"/>
      <c r="G80" s="51"/>
      <c r="H80" s="57"/>
      <c r="I80" s="66"/>
      <c r="J80" s="52"/>
      <c r="K80" s="52"/>
      <c r="L80" s="66"/>
      <c r="M80" s="66"/>
      <c r="N80" s="65"/>
      <c r="O80" s="62"/>
      <c r="P80" s="1"/>
      <c r="Q80" s="1"/>
      <c r="U80" s="71"/>
      <c r="V80">
        <f t="shared" si="26"/>
        <v>0</v>
      </c>
      <c r="W80">
        <f t="shared" si="27"/>
        <v>0</v>
      </c>
      <c r="X80">
        <f t="shared" si="28"/>
        <v>0</v>
      </c>
      <c r="Y80">
        <f t="shared" si="21"/>
        <v>0</v>
      </c>
      <c r="Z80">
        <f t="shared" si="22"/>
        <v>0</v>
      </c>
      <c r="AA80">
        <f t="shared" si="23"/>
        <v>0</v>
      </c>
      <c r="AB80" s="80" t="e">
        <f t="shared" si="24"/>
        <v>#DIV/0!</v>
      </c>
      <c r="AC80" s="80" t="e">
        <f t="shared" si="25"/>
        <v>#DIV/0!</v>
      </c>
      <c r="AD80" s="45" t="e">
        <f t="shared" si="29"/>
        <v>#DIV/0!</v>
      </c>
      <c r="AE80" s="45" t="e">
        <f t="shared" si="30"/>
        <v>#DIV/0!</v>
      </c>
    </row>
    <row r="81" spans="1:31">
      <c r="A81" s="1"/>
      <c r="B81" s="52"/>
      <c r="C81" s="52"/>
      <c r="D81" s="51"/>
      <c r="E81" s="51"/>
      <c r="F81" s="51"/>
      <c r="G81" s="51"/>
      <c r="H81" s="57"/>
      <c r="I81" s="66"/>
      <c r="J81" s="52"/>
      <c r="K81" s="52"/>
      <c r="L81" s="66"/>
      <c r="M81" s="66"/>
      <c r="N81" s="65"/>
      <c r="O81" s="62"/>
      <c r="P81" s="1"/>
      <c r="Q81" s="1"/>
      <c r="U81" s="71"/>
      <c r="V81">
        <f t="shared" si="26"/>
        <v>0</v>
      </c>
      <c r="W81">
        <f t="shared" si="27"/>
        <v>0</v>
      </c>
      <c r="X81">
        <f t="shared" si="28"/>
        <v>0</v>
      </c>
      <c r="Y81">
        <f t="shared" si="21"/>
        <v>0</v>
      </c>
      <c r="Z81">
        <f t="shared" si="22"/>
        <v>0</v>
      </c>
      <c r="AA81">
        <f t="shared" si="23"/>
        <v>0</v>
      </c>
      <c r="AB81" s="80" t="e">
        <f t="shared" si="24"/>
        <v>#DIV/0!</v>
      </c>
      <c r="AC81" s="80" t="e">
        <f t="shared" si="25"/>
        <v>#DIV/0!</v>
      </c>
      <c r="AD81" s="45" t="e">
        <f t="shared" si="29"/>
        <v>#DIV/0!</v>
      </c>
      <c r="AE81" s="45" t="e">
        <f t="shared" si="30"/>
        <v>#DIV/0!</v>
      </c>
    </row>
    <row r="82" spans="1:31">
      <c r="A82" s="1"/>
      <c r="B82" s="52"/>
      <c r="C82" s="52"/>
      <c r="D82" s="51"/>
      <c r="E82" s="51"/>
      <c r="F82" s="51"/>
      <c r="G82" s="51"/>
      <c r="H82" s="57"/>
      <c r="I82" s="66"/>
      <c r="J82" s="52"/>
      <c r="K82" s="52"/>
      <c r="L82" s="66"/>
      <c r="M82" s="66"/>
      <c r="N82" s="65"/>
      <c r="O82" s="62"/>
      <c r="P82" s="1"/>
      <c r="Q82" s="1"/>
      <c r="U82" s="71"/>
      <c r="V82">
        <f t="shared" si="26"/>
        <v>0</v>
      </c>
      <c r="W82">
        <f t="shared" si="27"/>
        <v>0</v>
      </c>
      <c r="X82">
        <f t="shared" si="28"/>
        <v>0</v>
      </c>
      <c r="Y82">
        <f t="shared" si="21"/>
        <v>0</v>
      </c>
      <c r="Z82">
        <f t="shared" si="22"/>
        <v>0</v>
      </c>
      <c r="AA82">
        <f t="shared" si="23"/>
        <v>0</v>
      </c>
      <c r="AB82" s="80" t="e">
        <f t="shared" si="24"/>
        <v>#DIV/0!</v>
      </c>
      <c r="AC82" s="80" t="e">
        <f t="shared" si="25"/>
        <v>#DIV/0!</v>
      </c>
      <c r="AD82" s="45" t="e">
        <f t="shared" si="29"/>
        <v>#DIV/0!</v>
      </c>
      <c r="AE82" s="45" t="e">
        <f t="shared" si="30"/>
        <v>#DIV/0!</v>
      </c>
    </row>
    <row r="83" spans="1:31">
      <c r="A83" s="1"/>
      <c r="B83" s="52"/>
      <c r="C83" s="52"/>
      <c r="D83" s="51"/>
      <c r="E83" s="51"/>
      <c r="F83" s="51"/>
      <c r="G83" s="51"/>
      <c r="H83" s="57"/>
      <c r="I83" s="66"/>
      <c r="J83" s="52"/>
      <c r="K83" s="52"/>
      <c r="L83" s="66"/>
      <c r="M83" s="66"/>
      <c r="N83" s="65"/>
      <c r="O83" s="62"/>
      <c r="P83" s="1"/>
      <c r="Q83" s="1"/>
      <c r="U83" s="71"/>
      <c r="V83">
        <f t="shared" si="26"/>
        <v>0</v>
      </c>
      <c r="W83">
        <f t="shared" si="27"/>
        <v>0</v>
      </c>
      <c r="X83">
        <f t="shared" si="28"/>
        <v>0</v>
      </c>
      <c r="Y83">
        <f t="shared" si="21"/>
        <v>0</v>
      </c>
      <c r="Z83">
        <f t="shared" si="22"/>
        <v>0</v>
      </c>
      <c r="AA83">
        <f t="shared" si="23"/>
        <v>0</v>
      </c>
      <c r="AB83" s="80" t="e">
        <f t="shared" si="24"/>
        <v>#DIV/0!</v>
      </c>
      <c r="AC83" s="80" t="e">
        <f t="shared" si="25"/>
        <v>#DIV/0!</v>
      </c>
      <c r="AD83" s="45" t="e">
        <f t="shared" si="29"/>
        <v>#DIV/0!</v>
      </c>
      <c r="AE83" s="45" t="e">
        <f t="shared" si="30"/>
        <v>#DIV/0!</v>
      </c>
    </row>
    <row r="84" spans="1:31">
      <c r="A84" s="1"/>
      <c r="B84" s="52"/>
      <c r="C84" s="52"/>
      <c r="D84" s="51"/>
      <c r="E84" s="51"/>
      <c r="F84" s="51"/>
      <c r="G84" s="51"/>
      <c r="H84" s="57"/>
      <c r="I84" s="66"/>
      <c r="J84" s="52"/>
      <c r="K84" s="52"/>
      <c r="L84" s="66"/>
      <c r="M84" s="66"/>
      <c r="N84" s="65"/>
      <c r="O84" s="62"/>
      <c r="P84" s="1"/>
      <c r="Q84" s="1"/>
      <c r="U84" s="71"/>
      <c r="V84">
        <f t="shared" si="26"/>
        <v>0</v>
      </c>
      <c r="W84">
        <f t="shared" si="27"/>
        <v>0</v>
      </c>
      <c r="X84">
        <f t="shared" si="28"/>
        <v>0</v>
      </c>
      <c r="Y84">
        <f t="shared" si="21"/>
        <v>0</v>
      </c>
      <c r="Z84">
        <f t="shared" si="22"/>
        <v>0</v>
      </c>
      <c r="AA84">
        <f t="shared" si="23"/>
        <v>0</v>
      </c>
      <c r="AB84" s="80" t="e">
        <f t="shared" si="24"/>
        <v>#DIV/0!</v>
      </c>
      <c r="AC84" s="80" t="e">
        <f t="shared" si="25"/>
        <v>#DIV/0!</v>
      </c>
      <c r="AD84" s="45" t="e">
        <f t="shared" si="29"/>
        <v>#DIV/0!</v>
      </c>
      <c r="AE84" s="45" t="e">
        <f t="shared" si="30"/>
        <v>#DIV/0!</v>
      </c>
    </row>
    <row r="85" spans="1:31">
      <c r="A85" s="1"/>
      <c r="B85" s="52"/>
      <c r="C85" s="52"/>
      <c r="D85" s="51"/>
      <c r="E85" s="51"/>
      <c r="F85" s="51"/>
      <c r="G85" s="51"/>
      <c r="H85" s="57"/>
      <c r="I85" s="66"/>
      <c r="J85" s="52"/>
      <c r="K85" s="52"/>
      <c r="L85" s="66"/>
      <c r="M85" s="66"/>
      <c r="N85" s="65"/>
      <c r="O85" s="62"/>
      <c r="P85" s="1"/>
      <c r="Q85" s="1"/>
      <c r="U85" s="71"/>
      <c r="V85">
        <f t="shared" si="26"/>
        <v>0</v>
      </c>
      <c r="W85">
        <f t="shared" si="27"/>
        <v>0</v>
      </c>
      <c r="X85">
        <f t="shared" si="28"/>
        <v>0</v>
      </c>
      <c r="Y85">
        <f t="shared" si="21"/>
        <v>0</v>
      </c>
      <c r="Z85">
        <f t="shared" si="22"/>
        <v>0</v>
      </c>
      <c r="AA85">
        <f t="shared" si="23"/>
        <v>0</v>
      </c>
      <c r="AB85" s="80" t="e">
        <f t="shared" si="24"/>
        <v>#DIV/0!</v>
      </c>
      <c r="AC85" s="80" t="e">
        <f t="shared" si="25"/>
        <v>#DIV/0!</v>
      </c>
      <c r="AD85" s="45" t="e">
        <f t="shared" si="29"/>
        <v>#DIV/0!</v>
      </c>
      <c r="AE85" s="45" t="e">
        <f t="shared" si="30"/>
        <v>#DIV/0!</v>
      </c>
    </row>
    <row r="86" spans="1:31">
      <c r="A86" s="1"/>
      <c r="B86" s="52"/>
      <c r="C86" s="52"/>
      <c r="D86" s="51"/>
      <c r="E86" s="51"/>
      <c r="F86" s="51"/>
      <c r="G86" s="51"/>
      <c r="H86" s="57"/>
      <c r="I86" s="66"/>
      <c r="J86" s="52"/>
      <c r="K86" s="52"/>
      <c r="L86" s="66"/>
      <c r="M86" s="66"/>
      <c r="N86" s="65"/>
      <c r="O86" s="62"/>
      <c r="P86" s="1"/>
      <c r="Q86" s="1"/>
      <c r="U86" s="71"/>
      <c r="V86">
        <f t="shared" si="26"/>
        <v>0</v>
      </c>
      <c r="W86">
        <f t="shared" si="27"/>
        <v>0</v>
      </c>
      <c r="X86">
        <f t="shared" si="28"/>
        <v>0</v>
      </c>
      <c r="Y86">
        <f t="shared" si="21"/>
        <v>0</v>
      </c>
      <c r="Z86">
        <f t="shared" si="22"/>
        <v>0</v>
      </c>
      <c r="AA86">
        <f t="shared" si="23"/>
        <v>0</v>
      </c>
      <c r="AB86" s="80" t="e">
        <f t="shared" si="24"/>
        <v>#DIV/0!</v>
      </c>
      <c r="AC86" s="80" t="e">
        <f t="shared" si="25"/>
        <v>#DIV/0!</v>
      </c>
      <c r="AD86" s="45" t="e">
        <f t="shared" si="29"/>
        <v>#DIV/0!</v>
      </c>
      <c r="AE86" s="45" t="e">
        <f t="shared" si="30"/>
        <v>#DIV/0!</v>
      </c>
    </row>
    <row r="87" spans="1:31">
      <c r="A87" s="1"/>
      <c r="B87" s="52"/>
      <c r="C87" s="52"/>
      <c r="D87" s="51"/>
      <c r="E87" s="51"/>
      <c r="F87" s="51"/>
      <c r="G87" s="51"/>
      <c r="H87" s="57"/>
      <c r="I87" s="66"/>
      <c r="J87" s="52"/>
      <c r="K87" s="52"/>
      <c r="L87" s="66"/>
      <c r="M87" s="66"/>
      <c r="N87" s="65"/>
      <c r="O87" s="62"/>
      <c r="P87" s="1"/>
      <c r="Q87" s="1"/>
      <c r="U87" s="71"/>
      <c r="V87">
        <f t="shared" si="26"/>
        <v>0</v>
      </c>
      <c r="W87">
        <f t="shared" si="27"/>
        <v>0</v>
      </c>
      <c r="X87">
        <f t="shared" si="28"/>
        <v>0</v>
      </c>
      <c r="Y87">
        <f t="shared" si="21"/>
        <v>0</v>
      </c>
      <c r="Z87">
        <f t="shared" si="22"/>
        <v>0</v>
      </c>
      <c r="AA87">
        <f t="shared" si="23"/>
        <v>0</v>
      </c>
      <c r="AB87" s="80" t="e">
        <f t="shared" si="24"/>
        <v>#DIV/0!</v>
      </c>
      <c r="AC87" s="80" t="e">
        <f t="shared" si="25"/>
        <v>#DIV/0!</v>
      </c>
      <c r="AD87" s="45" t="e">
        <f t="shared" si="29"/>
        <v>#DIV/0!</v>
      </c>
      <c r="AE87" s="45" t="e">
        <f t="shared" si="30"/>
        <v>#DIV/0!</v>
      </c>
    </row>
    <row r="88" spans="1:31">
      <c r="A88" s="1"/>
      <c r="B88" s="52"/>
      <c r="C88" s="52"/>
      <c r="D88" s="51"/>
      <c r="E88" s="51"/>
      <c r="F88" s="51"/>
      <c r="G88" s="51"/>
      <c r="H88" s="57"/>
      <c r="I88" s="66"/>
      <c r="J88" s="52"/>
      <c r="K88" s="52"/>
      <c r="L88" s="66"/>
      <c r="M88" s="66"/>
      <c r="N88" s="65"/>
      <c r="O88" s="62"/>
      <c r="P88" s="1"/>
      <c r="Q88" s="1"/>
      <c r="U88" s="71"/>
      <c r="V88">
        <f t="shared" si="26"/>
        <v>0</v>
      </c>
      <c r="W88">
        <f t="shared" si="27"/>
        <v>0</v>
      </c>
      <c r="X88">
        <f t="shared" si="28"/>
        <v>0</v>
      </c>
      <c r="Y88">
        <f t="shared" si="21"/>
        <v>0</v>
      </c>
      <c r="Z88">
        <f t="shared" si="22"/>
        <v>0</v>
      </c>
      <c r="AA88">
        <f t="shared" si="23"/>
        <v>0</v>
      </c>
      <c r="AB88" s="80" t="e">
        <f t="shared" si="24"/>
        <v>#DIV/0!</v>
      </c>
      <c r="AC88" s="80" t="e">
        <f t="shared" si="25"/>
        <v>#DIV/0!</v>
      </c>
      <c r="AD88" s="45" t="e">
        <f t="shared" si="29"/>
        <v>#DIV/0!</v>
      </c>
      <c r="AE88" s="45" t="e">
        <f t="shared" si="30"/>
        <v>#DIV/0!</v>
      </c>
    </row>
    <row r="89" spans="1:31">
      <c r="A89" s="1"/>
      <c r="B89" s="52"/>
      <c r="C89" s="52"/>
      <c r="D89" s="51"/>
      <c r="E89" s="51"/>
      <c r="F89" s="51"/>
      <c r="G89" s="51"/>
      <c r="H89" s="57"/>
      <c r="I89" s="66"/>
      <c r="J89" s="52"/>
      <c r="K89" s="52"/>
      <c r="L89" s="66"/>
      <c r="M89" s="66"/>
      <c r="N89" s="65"/>
      <c r="O89" s="62"/>
      <c r="P89" s="1"/>
      <c r="Q89" s="1"/>
      <c r="U89" s="71"/>
      <c r="V89">
        <f t="shared" si="26"/>
        <v>0</v>
      </c>
      <c r="W89">
        <f t="shared" si="27"/>
        <v>0</v>
      </c>
      <c r="X89">
        <f t="shared" si="28"/>
        <v>0</v>
      </c>
      <c r="Y89">
        <f t="shared" si="21"/>
        <v>0</v>
      </c>
      <c r="Z89">
        <f t="shared" si="22"/>
        <v>0</v>
      </c>
      <c r="AA89">
        <f t="shared" si="23"/>
        <v>0</v>
      </c>
      <c r="AB89" s="80" t="e">
        <f t="shared" si="24"/>
        <v>#DIV/0!</v>
      </c>
      <c r="AC89" s="80" t="e">
        <f t="shared" si="25"/>
        <v>#DIV/0!</v>
      </c>
      <c r="AD89" s="45" t="e">
        <f t="shared" si="29"/>
        <v>#DIV/0!</v>
      </c>
      <c r="AE89" s="45" t="e">
        <f t="shared" si="30"/>
        <v>#DIV/0!</v>
      </c>
    </row>
    <row r="90" spans="1:31">
      <c r="A90" s="1"/>
      <c r="B90" s="52"/>
      <c r="C90" s="52"/>
      <c r="D90" s="51"/>
      <c r="E90" s="51"/>
      <c r="F90" s="51"/>
      <c r="G90" s="51"/>
      <c r="H90" s="57"/>
      <c r="I90" s="66"/>
      <c r="J90" s="52"/>
      <c r="K90" s="52"/>
      <c r="L90" s="66"/>
      <c r="M90" s="66"/>
      <c r="N90" s="65"/>
      <c r="O90" s="62"/>
      <c r="P90" s="1"/>
      <c r="Q90" s="1"/>
      <c r="U90" s="71"/>
      <c r="V90">
        <f t="shared" si="26"/>
        <v>0</v>
      </c>
      <c r="W90">
        <f t="shared" si="27"/>
        <v>0</v>
      </c>
      <c r="X90">
        <f t="shared" si="28"/>
        <v>0</v>
      </c>
      <c r="Y90">
        <f t="shared" si="21"/>
        <v>0</v>
      </c>
      <c r="Z90">
        <f t="shared" si="22"/>
        <v>0</v>
      </c>
      <c r="AA90">
        <f t="shared" si="23"/>
        <v>0</v>
      </c>
      <c r="AB90" s="80" t="e">
        <f t="shared" si="24"/>
        <v>#DIV/0!</v>
      </c>
      <c r="AC90" s="80" t="e">
        <f t="shared" si="25"/>
        <v>#DIV/0!</v>
      </c>
      <c r="AD90" s="45" t="e">
        <f t="shared" si="29"/>
        <v>#DIV/0!</v>
      </c>
      <c r="AE90" s="45" t="e">
        <f t="shared" si="30"/>
        <v>#DIV/0!</v>
      </c>
    </row>
    <row r="91" spans="1:31">
      <c r="A91" s="1"/>
      <c r="B91" s="52"/>
      <c r="C91" s="52"/>
      <c r="D91" s="51"/>
      <c r="E91" s="51"/>
      <c r="F91" s="51"/>
      <c r="G91" s="51"/>
      <c r="H91" s="57"/>
      <c r="I91" s="66"/>
      <c r="J91" s="52"/>
      <c r="K91" s="52"/>
      <c r="L91" s="66"/>
      <c r="M91" s="66"/>
      <c r="N91" s="65"/>
      <c r="O91" s="62"/>
      <c r="P91" s="1"/>
      <c r="Q91" s="1"/>
      <c r="U91" s="71"/>
      <c r="V91">
        <f t="shared" si="26"/>
        <v>0</v>
      </c>
      <c r="W91">
        <f t="shared" si="27"/>
        <v>0</v>
      </c>
      <c r="X91">
        <f t="shared" si="28"/>
        <v>0</v>
      </c>
      <c r="Y91">
        <f t="shared" si="21"/>
        <v>0</v>
      </c>
      <c r="Z91">
        <f t="shared" si="22"/>
        <v>0</v>
      </c>
      <c r="AA91">
        <f t="shared" si="23"/>
        <v>0</v>
      </c>
      <c r="AB91" s="80" t="e">
        <f t="shared" si="24"/>
        <v>#DIV/0!</v>
      </c>
      <c r="AC91" s="80" t="e">
        <f t="shared" si="25"/>
        <v>#DIV/0!</v>
      </c>
      <c r="AD91" s="45" t="e">
        <f t="shared" si="29"/>
        <v>#DIV/0!</v>
      </c>
      <c r="AE91" s="45" t="e">
        <f t="shared" si="30"/>
        <v>#DIV/0!</v>
      </c>
    </row>
    <row r="92" spans="1:31">
      <c r="A92" s="1"/>
      <c r="B92" s="52"/>
      <c r="C92" s="52"/>
      <c r="D92" s="51"/>
      <c r="E92" s="51"/>
      <c r="F92" s="51"/>
      <c r="G92" s="51"/>
      <c r="H92" s="57"/>
      <c r="I92" s="66"/>
      <c r="J92" s="52"/>
      <c r="K92" s="52"/>
      <c r="L92" s="66"/>
      <c r="M92" s="66"/>
      <c r="N92" s="65"/>
      <c r="O92" s="62"/>
      <c r="P92" s="1"/>
      <c r="Q92" s="1"/>
      <c r="U92" s="71"/>
      <c r="V92">
        <f t="shared" si="26"/>
        <v>0</v>
      </c>
      <c r="W92">
        <f t="shared" si="27"/>
        <v>0</v>
      </c>
      <c r="X92">
        <f t="shared" si="28"/>
        <v>0</v>
      </c>
      <c r="Y92">
        <f t="shared" si="21"/>
        <v>0</v>
      </c>
      <c r="Z92">
        <f t="shared" si="22"/>
        <v>0</v>
      </c>
      <c r="AA92">
        <f t="shared" si="23"/>
        <v>0</v>
      </c>
      <c r="AB92" s="80" t="e">
        <f t="shared" si="24"/>
        <v>#DIV/0!</v>
      </c>
      <c r="AC92" s="80" t="e">
        <f t="shared" si="25"/>
        <v>#DIV/0!</v>
      </c>
      <c r="AD92" s="45" t="e">
        <f t="shared" si="29"/>
        <v>#DIV/0!</v>
      </c>
      <c r="AE92" s="45" t="e">
        <f t="shared" si="30"/>
        <v>#DIV/0!</v>
      </c>
    </row>
    <row r="93" spans="1:31">
      <c r="A93" s="1"/>
      <c r="B93" s="52"/>
      <c r="C93" s="52"/>
      <c r="D93" s="51"/>
      <c r="E93" s="51"/>
      <c r="F93" s="51"/>
      <c r="G93" s="51"/>
      <c r="H93" s="57"/>
      <c r="I93" s="66"/>
      <c r="J93" s="52"/>
      <c r="K93" s="52"/>
      <c r="L93" s="66"/>
      <c r="M93" s="66"/>
      <c r="N93" s="65"/>
      <c r="O93" s="62"/>
      <c r="P93" s="1"/>
      <c r="Q93" s="1"/>
      <c r="U93" s="71"/>
      <c r="V93">
        <f t="shared" si="26"/>
        <v>0</v>
      </c>
      <c r="W93">
        <f t="shared" si="27"/>
        <v>0</v>
      </c>
      <c r="X93">
        <f t="shared" si="28"/>
        <v>0</v>
      </c>
      <c r="Y93">
        <f t="shared" si="21"/>
        <v>0</v>
      </c>
      <c r="Z93">
        <f t="shared" si="22"/>
        <v>0</v>
      </c>
      <c r="AA93">
        <f t="shared" si="23"/>
        <v>0</v>
      </c>
      <c r="AB93" s="80" t="e">
        <f t="shared" si="24"/>
        <v>#DIV/0!</v>
      </c>
      <c r="AC93" s="80" t="e">
        <f t="shared" si="25"/>
        <v>#DIV/0!</v>
      </c>
      <c r="AD93" s="45" t="e">
        <f t="shared" si="29"/>
        <v>#DIV/0!</v>
      </c>
      <c r="AE93" s="45" t="e">
        <f t="shared" si="30"/>
        <v>#DIV/0!</v>
      </c>
    </row>
    <row r="94" spans="1:31">
      <c r="A94" s="1"/>
      <c r="B94" s="52"/>
      <c r="C94" s="52"/>
      <c r="D94" s="51"/>
      <c r="E94" s="51"/>
      <c r="F94" s="51"/>
      <c r="G94" s="51"/>
      <c r="H94" s="57"/>
      <c r="I94" s="66"/>
      <c r="J94" s="52"/>
      <c r="K94" s="52"/>
      <c r="L94" s="66"/>
      <c r="M94" s="66"/>
      <c r="N94" s="65"/>
      <c r="O94" s="62"/>
      <c r="P94" s="1"/>
      <c r="Q94" s="1"/>
      <c r="U94" s="71"/>
      <c r="V94">
        <f t="shared" si="26"/>
        <v>0</v>
      </c>
      <c r="W94">
        <f t="shared" si="27"/>
        <v>0</v>
      </c>
      <c r="X94">
        <f t="shared" si="28"/>
        <v>0</v>
      </c>
      <c r="Y94">
        <f t="shared" si="21"/>
        <v>0</v>
      </c>
      <c r="Z94">
        <f t="shared" si="22"/>
        <v>0</v>
      </c>
      <c r="AA94">
        <f t="shared" si="23"/>
        <v>0</v>
      </c>
      <c r="AB94" s="80" t="e">
        <f t="shared" si="24"/>
        <v>#DIV/0!</v>
      </c>
      <c r="AC94" s="80" t="e">
        <f t="shared" si="25"/>
        <v>#DIV/0!</v>
      </c>
      <c r="AD94" s="45" t="e">
        <f t="shared" si="29"/>
        <v>#DIV/0!</v>
      </c>
      <c r="AE94" s="45" t="e">
        <f t="shared" si="30"/>
        <v>#DIV/0!</v>
      </c>
    </row>
    <row r="95" spans="1:31">
      <c r="A95" s="1"/>
      <c r="B95" s="52"/>
      <c r="C95" s="52"/>
      <c r="D95" s="51"/>
      <c r="E95" s="51"/>
      <c r="F95" s="51"/>
      <c r="G95" s="51"/>
      <c r="H95" s="57"/>
      <c r="I95" s="66"/>
      <c r="J95" s="52"/>
      <c r="K95" s="52"/>
      <c r="L95" s="66"/>
      <c r="M95" s="66"/>
      <c r="N95" s="65"/>
      <c r="O95" s="62"/>
      <c r="P95" s="1"/>
      <c r="Q95" s="1"/>
      <c r="U95" s="71"/>
      <c r="V95">
        <f t="shared" si="26"/>
        <v>0</v>
      </c>
      <c r="W95">
        <f t="shared" si="27"/>
        <v>0</v>
      </c>
      <c r="X95">
        <f t="shared" si="28"/>
        <v>0</v>
      </c>
      <c r="Y95">
        <f t="shared" si="21"/>
        <v>0</v>
      </c>
      <c r="Z95">
        <f t="shared" si="22"/>
        <v>0</v>
      </c>
      <c r="AA95">
        <f t="shared" si="23"/>
        <v>0</v>
      </c>
      <c r="AB95" s="80" t="e">
        <f t="shared" si="24"/>
        <v>#DIV/0!</v>
      </c>
      <c r="AC95" s="80" t="e">
        <f t="shared" si="25"/>
        <v>#DIV/0!</v>
      </c>
      <c r="AD95" s="45" t="e">
        <f t="shared" si="29"/>
        <v>#DIV/0!</v>
      </c>
      <c r="AE95" s="45" t="e">
        <f t="shared" si="30"/>
        <v>#DIV/0!</v>
      </c>
    </row>
    <row r="96" spans="1:31">
      <c r="A96" s="1"/>
      <c r="B96" s="52"/>
      <c r="C96" s="52"/>
      <c r="D96" s="51"/>
      <c r="E96" s="51"/>
      <c r="F96" s="51"/>
      <c r="G96" s="51"/>
      <c r="H96" s="57"/>
      <c r="I96" s="66"/>
      <c r="J96" s="52"/>
      <c r="K96" s="52"/>
      <c r="L96" s="66"/>
      <c r="M96" s="66"/>
      <c r="N96" s="65"/>
      <c r="O96" s="62"/>
      <c r="P96" s="1"/>
      <c r="Q96" s="1"/>
      <c r="U96" s="71"/>
      <c r="V96">
        <f t="shared" si="26"/>
        <v>0</v>
      </c>
      <c r="W96">
        <f t="shared" si="27"/>
        <v>0</v>
      </c>
      <c r="X96">
        <f t="shared" si="28"/>
        <v>0</v>
      </c>
      <c r="Y96">
        <f t="shared" si="21"/>
        <v>0</v>
      </c>
      <c r="Z96">
        <f t="shared" si="22"/>
        <v>0</v>
      </c>
      <c r="AA96">
        <f t="shared" si="23"/>
        <v>0</v>
      </c>
      <c r="AB96" s="80" t="e">
        <f t="shared" si="24"/>
        <v>#DIV/0!</v>
      </c>
      <c r="AC96" s="80" t="e">
        <f t="shared" si="25"/>
        <v>#DIV/0!</v>
      </c>
      <c r="AD96" s="45" t="e">
        <f t="shared" si="29"/>
        <v>#DIV/0!</v>
      </c>
      <c r="AE96" s="45" t="e">
        <f t="shared" si="30"/>
        <v>#DIV/0!</v>
      </c>
    </row>
    <row r="97" spans="1:31">
      <c r="A97" s="1"/>
      <c r="B97" s="52"/>
      <c r="C97" s="52"/>
      <c r="D97" s="51"/>
      <c r="E97" s="51"/>
      <c r="F97" s="51"/>
      <c r="G97" s="51"/>
      <c r="H97" s="57"/>
      <c r="I97" s="66"/>
      <c r="J97" s="52"/>
      <c r="K97" s="52"/>
      <c r="L97" s="66"/>
      <c r="M97" s="66"/>
      <c r="N97" s="65"/>
      <c r="O97" s="62"/>
      <c r="P97" s="1"/>
      <c r="Q97" s="1"/>
      <c r="U97" s="71"/>
      <c r="V97">
        <f t="shared" si="26"/>
        <v>0</v>
      </c>
      <c r="W97">
        <f t="shared" si="27"/>
        <v>0</v>
      </c>
      <c r="X97">
        <f t="shared" si="28"/>
        <v>0</v>
      </c>
      <c r="Y97">
        <f t="shared" si="21"/>
        <v>0</v>
      </c>
      <c r="Z97">
        <f t="shared" si="22"/>
        <v>0</v>
      </c>
      <c r="AA97">
        <f t="shared" si="23"/>
        <v>0</v>
      </c>
      <c r="AB97" s="80" t="e">
        <f t="shared" si="24"/>
        <v>#DIV/0!</v>
      </c>
      <c r="AC97" s="80" t="e">
        <f t="shared" si="25"/>
        <v>#DIV/0!</v>
      </c>
      <c r="AD97" s="45" t="e">
        <f t="shared" si="29"/>
        <v>#DIV/0!</v>
      </c>
      <c r="AE97" s="45" t="e">
        <f t="shared" si="30"/>
        <v>#DIV/0!</v>
      </c>
    </row>
    <row r="98" spans="1:31">
      <c r="A98" s="1"/>
      <c r="B98" s="52"/>
      <c r="C98" s="52"/>
      <c r="D98" s="51"/>
      <c r="E98" s="51"/>
      <c r="F98" s="51"/>
      <c r="G98" s="51"/>
      <c r="H98" s="57"/>
      <c r="I98" s="66"/>
      <c r="J98" s="52"/>
      <c r="K98" s="52"/>
      <c r="L98" s="66"/>
      <c r="M98" s="66"/>
      <c r="N98" s="65"/>
      <c r="O98" s="62"/>
      <c r="P98" s="1"/>
      <c r="Q98" s="1"/>
      <c r="U98" s="71"/>
      <c r="V98">
        <f t="shared" si="26"/>
        <v>0</v>
      </c>
      <c r="W98">
        <f t="shared" si="27"/>
        <v>0</v>
      </c>
      <c r="X98">
        <f t="shared" si="28"/>
        <v>0</v>
      </c>
      <c r="Y98">
        <f t="shared" si="21"/>
        <v>0</v>
      </c>
      <c r="Z98">
        <f t="shared" si="22"/>
        <v>0</v>
      </c>
      <c r="AA98">
        <f t="shared" si="23"/>
        <v>0</v>
      </c>
      <c r="AB98" s="80" t="e">
        <f t="shared" si="24"/>
        <v>#DIV/0!</v>
      </c>
      <c r="AC98" s="80" t="e">
        <f t="shared" si="25"/>
        <v>#DIV/0!</v>
      </c>
      <c r="AD98" s="45" t="e">
        <f t="shared" si="29"/>
        <v>#DIV/0!</v>
      </c>
      <c r="AE98" s="45" t="e">
        <f t="shared" si="30"/>
        <v>#DIV/0!</v>
      </c>
    </row>
    <row r="99" spans="1:31">
      <c r="A99" s="1"/>
      <c r="B99" s="52"/>
      <c r="C99" s="52"/>
      <c r="D99" s="51"/>
      <c r="E99" s="51"/>
      <c r="F99" s="51"/>
      <c r="G99" s="51"/>
      <c r="H99" s="57"/>
      <c r="I99" s="66"/>
      <c r="J99" s="52"/>
      <c r="K99" s="52"/>
      <c r="L99" s="66"/>
      <c r="M99" s="66"/>
      <c r="N99" s="65"/>
      <c r="O99" s="62"/>
      <c r="P99" s="1"/>
      <c r="Q99" s="1"/>
      <c r="U99" s="71"/>
      <c r="V99">
        <f t="shared" si="26"/>
        <v>0</v>
      </c>
      <c r="W99">
        <f t="shared" si="27"/>
        <v>0</v>
      </c>
      <c r="X99">
        <f t="shared" si="28"/>
        <v>0</v>
      </c>
      <c r="Y99">
        <f t="shared" si="21"/>
        <v>0</v>
      </c>
      <c r="Z99">
        <f t="shared" si="22"/>
        <v>0</v>
      </c>
      <c r="AA99">
        <f t="shared" si="23"/>
        <v>0</v>
      </c>
      <c r="AB99" s="80" t="e">
        <f t="shared" si="24"/>
        <v>#DIV/0!</v>
      </c>
      <c r="AC99" s="80" t="e">
        <f t="shared" si="25"/>
        <v>#DIV/0!</v>
      </c>
      <c r="AD99" s="45" t="e">
        <f t="shared" si="29"/>
        <v>#DIV/0!</v>
      </c>
      <c r="AE99" s="45" t="e">
        <f t="shared" si="30"/>
        <v>#DIV/0!</v>
      </c>
    </row>
    <row r="100" spans="1:31">
      <c r="A100" s="1"/>
      <c r="B100" s="52"/>
      <c r="C100" s="52"/>
      <c r="D100" s="51"/>
      <c r="E100" s="51"/>
      <c r="F100" s="51"/>
      <c r="G100" s="51"/>
      <c r="H100" s="57"/>
      <c r="I100" s="66"/>
      <c r="J100" s="52"/>
      <c r="K100" s="52"/>
      <c r="L100" s="66"/>
      <c r="M100" s="66"/>
      <c r="N100" s="65"/>
      <c r="O100" s="62"/>
      <c r="P100" s="1"/>
      <c r="Q100" s="1"/>
      <c r="U100" s="71"/>
      <c r="V100">
        <f t="shared" si="26"/>
        <v>0</v>
      </c>
      <c r="W100">
        <f t="shared" si="27"/>
        <v>0</v>
      </c>
      <c r="X100">
        <f t="shared" si="28"/>
        <v>0</v>
      </c>
      <c r="Y100">
        <f t="shared" si="21"/>
        <v>0</v>
      </c>
      <c r="Z100">
        <f t="shared" si="22"/>
        <v>0</v>
      </c>
      <c r="AA100">
        <f t="shared" si="23"/>
        <v>0</v>
      </c>
      <c r="AB100" s="80" t="e">
        <f t="shared" si="24"/>
        <v>#DIV/0!</v>
      </c>
      <c r="AC100" s="80" t="e">
        <f t="shared" si="25"/>
        <v>#DIV/0!</v>
      </c>
      <c r="AD100" s="45" t="e">
        <f t="shared" si="29"/>
        <v>#DIV/0!</v>
      </c>
      <c r="AE100" s="45" t="e">
        <f t="shared" si="30"/>
        <v>#DIV/0!</v>
      </c>
    </row>
    <row r="101" spans="1:31">
      <c r="A101" s="1"/>
      <c r="B101" s="52"/>
      <c r="C101" s="52"/>
      <c r="D101" s="51"/>
      <c r="E101" s="51"/>
      <c r="F101" s="51"/>
      <c r="G101" s="51"/>
      <c r="H101" s="57"/>
      <c r="I101" s="66"/>
      <c r="J101" s="52"/>
      <c r="K101" s="52"/>
      <c r="L101" s="66"/>
      <c r="M101" s="66"/>
      <c r="N101" s="65"/>
      <c r="O101" s="62"/>
      <c r="P101" s="1"/>
      <c r="Q101" s="1"/>
      <c r="U101" s="71"/>
      <c r="V101">
        <f t="shared" si="26"/>
        <v>0</v>
      </c>
      <c r="W101">
        <f t="shared" si="27"/>
        <v>0</v>
      </c>
      <c r="X101">
        <f t="shared" si="28"/>
        <v>0</v>
      </c>
      <c r="Y101">
        <f t="shared" si="21"/>
        <v>0</v>
      </c>
      <c r="Z101">
        <f t="shared" si="22"/>
        <v>0</v>
      </c>
      <c r="AA101">
        <f t="shared" si="23"/>
        <v>0</v>
      </c>
      <c r="AB101" s="80" t="e">
        <f t="shared" si="24"/>
        <v>#DIV/0!</v>
      </c>
      <c r="AC101" s="80" t="e">
        <f t="shared" si="25"/>
        <v>#DIV/0!</v>
      </c>
      <c r="AD101" s="45" t="e">
        <f t="shared" si="29"/>
        <v>#DIV/0!</v>
      </c>
      <c r="AE101" s="45" t="e">
        <f t="shared" si="30"/>
        <v>#DIV/0!</v>
      </c>
    </row>
    <row r="102" spans="1:31">
      <c r="A102" s="1"/>
      <c r="B102" s="52"/>
      <c r="C102" s="52"/>
      <c r="D102" s="51"/>
      <c r="E102" s="51"/>
      <c r="F102" s="51"/>
      <c r="G102" s="51"/>
      <c r="H102" s="57"/>
      <c r="I102" s="66"/>
      <c r="J102" s="52"/>
      <c r="K102" s="52"/>
      <c r="L102" s="66"/>
      <c r="M102" s="66"/>
      <c r="N102" s="65"/>
      <c r="O102" s="62"/>
      <c r="P102" s="1"/>
      <c r="Q102" s="1"/>
      <c r="U102" s="71"/>
      <c r="V102">
        <f t="shared" si="26"/>
        <v>0</v>
      </c>
      <c r="W102">
        <f t="shared" si="27"/>
        <v>0</v>
      </c>
      <c r="X102">
        <f t="shared" si="28"/>
        <v>0</v>
      </c>
      <c r="Y102">
        <f t="shared" si="21"/>
        <v>0</v>
      </c>
      <c r="Z102">
        <f t="shared" si="22"/>
        <v>0</v>
      </c>
      <c r="AA102">
        <f t="shared" si="23"/>
        <v>0</v>
      </c>
      <c r="AB102" s="80" t="e">
        <f t="shared" si="24"/>
        <v>#DIV/0!</v>
      </c>
      <c r="AC102" s="80" t="e">
        <f t="shared" si="25"/>
        <v>#DIV/0!</v>
      </c>
      <c r="AD102" s="45" t="e">
        <f t="shared" si="29"/>
        <v>#DIV/0!</v>
      </c>
      <c r="AE102" s="45" t="e">
        <f t="shared" si="30"/>
        <v>#DIV/0!</v>
      </c>
    </row>
    <row r="103" spans="1:31">
      <c r="A103" s="1"/>
      <c r="B103" s="52"/>
      <c r="C103" s="52"/>
      <c r="D103" s="51"/>
      <c r="E103" s="51"/>
      <c r="F103" s="51"/>
      <c r="G103" s="51"/>
      <c r="H103" s="57"/>
      <c r="I103" s="66"/>
      <c r="J103" s="52"/>
      <c r="K103" s="52"/>
      <c r="L103" s="66"/>
      <c r="M103" s="66"/>
      <c r="N103" s="65"/>
      <c r="O103" s="62"/>
      <c r="P103" s="1"/>
      <c r="Q103" s="1"/>
      <c r="U103" s="71"/>
      <c r="V103">
        <f t="shared" si="26"/>
        <v>0</v>
      </c>
      <c r="W103">
        <f t="shared" si="27"/>
        <v>0</v>
      </c>
      <c r="X103">
        <f t="shared" si="28"/>
        <v>0</v>
      </c>
      <c r="Y103">
        <f t="shared" si="21"/>
        <v>0</v>
      </c>
      <c r="Z103">
        <f t="shared" si="22"/>
        <v>0</v>
      </c>
      <c r="AA103">
        <f t="shared" si="23"/>
        <v>0</v>
      </c>
      <c r="AB103" s="80" t="e">
        <f t="shared" si="24"/>
        <v>#DIV/0!</v>
      </c>
      <c r="AC103" s="80" t="e">
        <f t="shared" si="25"/>
        <v>#DIV/0!</v>
      </c>
      <c r="AD103" s="45" t="e">
        <f t="shared" si="29"/>
        <v>#DIV/0!</v>
      </c>
      <c r="AE103" s="45" t="e">
        <f t="shared" si="30"/>
        <v>#DIV/0!</v>
      </c>
    </row>
    <row r="104" spans="1:31">
      <c r="A104" s="1"/>
      <c r="B104" s="52"/>
      <c r="C104" s="52"/>
      <c r="D104" s="51"/>
      <c r="E104" s="51"/>
      <c r="F104" s="51"/>
      <c r="G104" s="51"/>
      <c r="H104" s="57"/>
      <c r="I104" s="66"/>
      <c r="J104" s="52"/>
      <c r="K104" s="52"/>
      <c r="L104" s="66"/>
      <c r="M104" s="66"/>
      <c r="N104" s="65"/>
      <c r="O104" s="62"/>
      <c r="P104" s="1"/>
      <c r="Q104" s="1"/>
      <c r="U104" s="71"/>
      <c r="V104">
        <f t="shared" si="26"/>
        <v>0</v>
      </c>
      <c r="W104">
        <f t="shared" si="27"/>
        <v>0</v>
      </c>
      <c r="X104">
        <f t="shared" si="28"/>
        <v>0</v>
      </c>
      <c r="Y104">
        <f t="shared" si="21"/>
        <v>0</v>
      </c>
      <c r="Z104">
        <f t="shared" si="22"/>
        <v>0</v>
      </c>
      <c r="AA104">
        <f t="shared" si="23"/>
        <v>0</v>
      </c>
      <c r="AB104" s="80" t="e">
        <f t="shared" si="24"/>
        <v>#DIV/0!</v>
      </c>
      <c r="AC104" s="80" t="e">
        <f t="shared" si="25"/>
        <v>#DIV/0!</v>
      </c>
      <c r="AD104" s="45" t="e">
        <f t="shared" si="29"/>
        <v>#DIV/0!</v>
      </c>
      <c r="AE104" s="45" t="e">
        <f t="shared" si="30"/>
        <v>#DIV/0!</v>
      </c>
    </row>
  </sheetData>
  <sortState ref="A9:AB38">
    <sortCondition ref="L9:L38"/>
  </sortState>
  <mergeCells count="27">
    <mergeCell ref="A1:K1"/>
    <mergeCell ref="W1:AB1"/>
    <mergeCell ref="B2:K2"/>
    <mergeCell ref="W2:X2"/>
    <mergeCell ref="Y2:Z2"/>
    <mergeCell ref="AA2:AB2"/>
    <mergeCell ref="B3:K3"/>
    <mergeCell ref="B4:K4"/>
    <mergeCell ref="B5:D5"/>
    <mergeCell ref="F5:K5"/>
    <mergeCell ref="B6:D6"/>
    <mergeCell ref="F6:K6"/>
    <mergeCell ref="AC6:AD6"/>
    <mergeCell ref="AE6:AF6"/>
    <mergeCell ref="AG6:AH6"/>
    <mergeCell ref="AI6:AJ6"/>
    <mergeCell ref="C7:K7"/>
    <mergeCell ref="R7:T7"/>
    <mergeCell ref="A7:A8"/>
    <mergeCell ref="B7:B8"/>
    <mergeCell ref="L7:L8"/>
    <mergeCell ref="M7:M8"/>
    <mergeCell ref="N7:N8"/>
    <mergeCell ref="O7:O8"/>
    <mergeCell ref="P7:P8"/>
    <mergeCell ref="Q7:Q8"/>
    <mergeCell ref="V1:V6"/>
  </mergeCells>
  <conditionalFormatting sqref="AB68:AC68">
    <cfRule type="cellIs" dxfId="0" priority="37" operator="greaterThan">
      <formula>0.15</formula>
    </cfRule>
  </conditionalFormatting>
  <conditionalFormatting sqref="AB69:AC69">
    <cfRule type="cellIs" dxfId="0" priority="36" operator="greaterThan">
      <formula>0.15</formula>
    </cfRule>
  </conditionalFormatting>
  <conditionalFormatting sqref="AB70:AC70">
    <cfRule type="cellIs" dxfId="0" priority="35" operator="greaterThan">
      <formula>0.15</formula>
    </cfRule>
  </conditionalFormatting>
  <conditionalFormatting sqref="AB71:AC71">
    <cfRule type="cellIs" dxfId="0" priority="34" operator="greaterThan">
      <formula>0.15</formula>
    </cfRule>
  </conditionalFormatting>
  <conditionalFormatting sqref="AB72:AC72">
    <cfRule type="cellIs" dxfId="0" priority="33" operator="greaterThan">
      <formula>0.15</formula>
    </cfRule>
  </conditionalFormatting>
  <conditionalFormatting sqref="AB73:AC73">
    <cfRule type="cellIs" dxfId="0" priority="32" operator="greaterThan">
      <formula>0.15</formula>
    </cfRule>
  </conditionalFormatting>
  <conditionalFormatting sqref="AB74:AC74">
    <cfRule type="cellIs" dxfId="0" priority="31" operator="greaterThan">
      <formula>0.15</formula>
    </cfRule>
  </conditionalFormatting>
  <conditionalFormatting sqref="AB75:AC75">
    <cfRule type="cellIs" dxfId="0" priority="30" operator="greaterThan">
      <formula>0.15</formula>
    </cfRule>
  </conditionalFormatting>
  <conditionalFormatting sqref="AB76:AC76">
    <cfRule type="cellIs" dxfId="0" priority="29" operator="greaterThan">
      <formula>0.15</formula>
    </cfRule>
  </conditionalFormatting>
  <conditionalFormatting sqref="AB77:AC77">
    <cfRule type="cellIs" dxfId="0" priority="28" operator="greaterThan">
      <formula>0.15</formula>
    </cfRule>
  </conditionalFormatting>
  <conditionalFormatting sqref="AB78:AC78">
    <cfRule type="cellIs" dxfId="0" priority="27" operator="greaterThan">
      <formula>0.15</formula>
    </cfRule>
  </conditionalFormatting>
  <conditionalFormatting sqref="AB79:AC79">
    <cfRule type="cellIs" dxfId="0" priority="26" operator="greaterThan">
      <formula>0.15</formula>
    </cfRule>
  </conditionalFormatting>
  <conditionalFormatting sqref="AB80:AC80">
    <cfRule type="cellIs" dxfId="0" priority="25" operator="greaterThan">
      <formula>0.15</formula>
    </cfRule>
  </conditionalFormatting>
  <conditionalFormatting sqref="AB81:AC81">
    <cfRule type="cellIs" dxfId="0" priority="24" operator="greaterThan">
      <formula>0.15</formula>
    </cfRule>
  </conditionalFormatting>
  <conditionalFormatting sqref="AB82:AC82">
    <cfRule type="cellIs" dxfId="0" priority="23" operator="greaterThan">
      <formula>0.15</formula>
    </cfRule>
  </conditionalFormatting>
  <conditionalFormatting sqref="AB83:AC83">
    <cfRule type="cellIs" dxfId="0" priority="22" operator="greaterThan">
      <formula>0.15</formula>
    </cfRule>
  </conditionalFormatting>
  <conditionalFormatting sqref="AB84:AC84">
    <cfRule type="cellIs" dxfId="0" priority="21" operator="greaterThan">
      <formula>0.15</formula>
    </cfRule>
  </conditionalFormatting>
  <conditionalFormatting sqref="AB85:AC85">
    <cfRule type="cellIs" dxfId="0" priority="20" operator="greaterThan">
      <formula>0.15</formula>
    </cfRule>
  </conditionalFormatting>
  <conditionalFormatting sqref="AB86:AC86">
    <cfRule type="cellIs" dxfId="0" priority="19" operator="greaterThan">
      <formula>0.15</formula>
    </cfRule>
  </conditionalFormatting>
  <conditionalFormatting sqref="AB87:AC87">
    <cfRule type="cellIs" dxfId="0" priority="18" operator="greaterThan">
      <formula>0.15</formula>
    </cfRule>
  </conditionalFormatting>
  <conditionalFormatting sqref="AB88:AC88">
    <cfRule type="cellIs" dxfId="0" priority="17" operator="greaterThan">
      <formula>0.15</formula>
    </cfRule>
  </conditionalFormatting>
  <conditionalFormatting sqref="AB89:AC89">
    <cfRule type="cellIs" dxfId="0" priority="16" operator="greaterThan">
      <formula>0.15</formula>
    </cfRule>
  </conditionalFormatting>
  <conditionalFormatting sqref="AB90:AC90">
    <cfRule type="cellIs" dxfId="0" priority="15" operator="greaterThan">
      <formula>0.15</formula>
    </cfRule>
  </conditionalFormatting>
  <conditionalFormatting sqref="AB91:AC91">
    <cfRule type="cellIs" dxfId="0" priority="14" operator="greaterThan">
      <formula>0.15</formula>
    </cfRule>
  </conditionalFormatting>
  <conditionalFormatting sqref="AB92:AC92">
    <cfRule type="cellIs" dxfId="0" priority="13" operator="greaterThan">
      <formula>0.15</formula>
    </cfRule>
  </conditionalFormatting>
  <conditionalFormatting sqref="AB93:AC93">
    <cfRule type="cellIs" dxfId="0" priority="12" operator="greaterThan">
      <formula>0.15</formula>
    </cfRule>
  </conditionalFormatting>
  <conditionalFormatting sqref="AB94:AC94">
    <cfRule type="cellIs" dxfId="0" priority="11" operator="greaterThan">
      <formula>0.15</formula>
    </cfRule>
  </conditionalFormatting>
  <conditionalFormatting sqref="AB95:AC95">
    <cfRule type="cellIs" dxfId="0" priority="10" operator="greaterThan">
      <formula>0.15</formula>
    </cfRule>
  </conditionalFormatting>
  <conditionalFormatting sqref="AB96:AC96">
    <cfRule type="cellIs" dxfId="0" priority="9" operator="greaterThan">
      <formula>0.15</formula>
    </cfRule>
  </conditionalFormatting>
  <conditionalFormatting sqref="AB97:AC97">
    <cfRule type="cellIs" dxfId="0" priority="8" operator="greaterThan">
      <formula>0.15</formula>
    </cfRule>
  </conditionalFormatting>
  <conditionalFormatting sqref="AB98:AC98">
    <cfRule type="cellIs" dxfId="0" priority="7" operator="greaterThan">
      <formula>0.15</formula>
    </cfRule>
  </conditionalFormatting>
  <conditionalFormatting sqref="AB99:AC99">
    <cfRule type="cellIs" dxfId="0" priority="6" operator="greaterThan">
      <formula>0.15</formula>
    </cfRule>
  </conditionalFormatting>
  <conditionalFormatting sqref="AB100:AC100">
    <cfRule type="cellIs" dxfId="0" priority="5" operator="greaterThan">
      <formula>0.15</formula>
    </cfRule>
  </conditionalFormatting>
  <conditionalFormatting sqref="AB101:AC101">
    <cfRule type="cellIs" dxfId="0" priority="4" operator="greaterThan">
      <formula>0.15</formula>
    </cfRule>
  </conditionalFormatting>
  <conditionalFormatting sqref="AB102:AC102">
    <cfRule type="cellIs" dxfId="0" priority="3" operator="greaterThan">
      <formula>0.15</formula>
    </cfRule>
  </conditionalFormatting>
  <conditionalFormatting sqref="AB103:AC103">
    <cfRule type="cellIs" dxfId="0" priority="2" operator="greaterThan">
      <formula>0.15</formula>
    </cfRule>
  </conditionalFormatting>
  <conditionalFormatting sqref="AB104:AC104">
    <cfRule type="cellIs" dxfId="0" priority="1" operator="greaterThan">
      <formula>0.15</formula>
    </cfRule>
  </conditionalFormatting>
  <conditionalFormatting sqref="AB15:AC67">
    <cfRule type="cellIs" dxfId="0" priority="38" operator="greaterThan">
      <formula>0.15</formula>
    </cfRule>
  </conditionalFormatting>
  <dataValidations count="4">
    <dataValidation type="list" allowBlank="1" showInputMessage="1" showErrorMessage="1" sqref="C9 C10 C11 C12 C13 C14 C15 C16 C17 C18 C19 C20 C21 C22 C23 C24 C25 C26 C27 C28 C29 C30 C31 C32 C33 C34 C35 C36 C37 C38 C39">
      <formula1>"商品砼,自拌砼"</formula1>
    </dataValidation>
    <dataValidation type="list" allowBlank="1" showInputMessage="1" showErrorMessage="1" sqref="F9 F10 F11 F12 F13 F14 F15 F16 F17 F18 F19 F20 F21 F22 F23 F24 F25 F26 F27 F28 F29 F30 F31 F32 F33 F34 F35 F36 F37 F38 F39">
      <formula1>"100×100×100,150×150×150,200×200×200"</formula1>
    </dataValidation>
    <dataValidation type="list" allowBlank="1" showInputMessage="1" showErrorMessage="1" sqref="M14 M15 M16 M17 M18 M19 M20 M21 M22 M23 M24 M25 M26 M27 M28">
      <formula1>"委托方自行标养,标准养护,同条件养护,非标准养护"</formula1>
    </dataValidation>
    <dataValidation type="list" allowBlank="1" showInputMessage="1" showErrorMessage="1" sqref="A1:K2">
      <formula1>委托单位信息!$B$3:$B$1000</formula1>
    </dataValidation>
  </dataValidations>
  <pageMargins left="0.75" right="0.75" top="1" bottom="1" header="0.5" footer="0.5"/>
  <pageSetup paperSize="9" orientation="portrait"/>
  <headerFooter/>
  <drawing r:id="rId1"/>
  <legacyDrawing r:id="rId2"/>
  <controls>
    <mc:AlternateContent xmlns:mc="http://schemas.openxmlformats.org/markup-compatibility/2006">
      <mc:Choice Requires="x14">
        <control shapeId="2049" r:id="rId3" name="CommandButton1">
          <controlPr defaultSize="0" r:id="rId4">
            <anchor moveWithCells="1">
              <from>
                <xdr:col>17</xdr:col>
                <xdr:colOff>133350</xdr:colOff>
                <xdr:row>4</xdr:row>
                <xdr:rowOff>114300</xdr:rowOff>
              </from>
              <to>
                <xdr:col>19</xdr:col>
                <xdr:colOff>523875</xdr:colOff>
                <xdr:row>5</xdr:row>
                <xdr:rowOff>238125</xdr:rowOff>
              </to>
            </anchor>
          </controlPr>
        </control>
      </mc:Choice>
      <mc:Fallback>
        <control shapeId="2049" r:id="rId3" name="CommandButton1"/>
      </mc:Fallback>
    </mc:AlternateContent>
    <mc:AlternateContent xmlns:mc="http://schemas.openxmlformats.org/markup-compatibility/2006">
      <mc:Choice Requires="x14">
        <control shapeId="2050" r:id="rId5" name="CommandButton2">
          <controlPr defaultSize="0" r:id="rId6">
            <anchor moveWithCells="1">
              <from>
                <xdr:col>14</xdr:col>
                <xdr:colOff>304800</xdr:colOff>
                <xdr:row>2</xdr:row>
                <xdr:rowOff>180975</xdr:rowOff>
              </from>
              <to>
                <xdr:col>16</xdr:col>
                <xdr:colOff>95250</xdr:colOff>
                <xdr:row>3</xdr:row>
                <xdr:rowOff>238125</xdr:rowOff>
              </to>
            </anchor>
          </controlPr>
        </control>
      </mc:Choice>
      <mc:Fallback>
        <control shapeId="2050" r:id="rId5" name="CommandButton2"/>
      </mc:Fallback>
    </mc:AlternateContent>
    <mc:AlternateContent xmlns:mc="http://schemas.openxmlformats.org/markup-compatibility/2006">
      <mc:Choice Requires="x14">
        <control shapeId="2051" r:id="rId7" name="CommandButton3">
          <controlPr defaultSize="0" r:id="rId8">
            <anchor moveWithCells="1">
              <from>
                <xdr:col>14</xdr:col>
                <xdr:colOff>323850</xdr:colOff>
                <xdr:row>4</xdr:row>
                <xdr:rowOff>28575</xdr:rowOff>
              </from>
              <to>
                <xdr:col>16</xdr:col>
                <xdr:colOff>114300</xdr:colOff>
                <xdr:row>5</xdr:row>
                <xdr:rowOff>85725</xdr:rowOff>
              </to>
            </anchor>
          </controlPr>
        </control>
      </mc:Choice>
      <mc:Fallback>
        <control shapeId="2051" r:id="rId7" name="CommandButton3"/>
      </mc:Fallback>
    </mc:AlternateContent>
    <mc:AlternateContent xmlns:mc="http://schemas.openxmlformats.org/markup-compatibility/2006">
      <mc:Choice Requires="x14">
        <control shapeId="2052" r:id="rId9" name="CommandButton4">
          <controlPr defaultSize="0" r:id="rId10">
            <anchor moveWithCells="1">
              <from>
                <xdr:col>17</xdr:col>
                <xdr:colOff>108585</xdr:colOff>
                <xdr:row>2</xdr:row>
                <xdr:rowOff>95885</xdr:rowOff>
              </from>
              <to>
                <xdr:col>19</xdr:col>
                <xdr:colOff>534670</xdr:colOff>
                <xdr:row>3</xdr:row>
                <xdr:rowOff>252730</xdr:rowOff>
              </to>
            </anchor>
          </controlPr>
        </control>
      </mc:Choice>
      <mc:Fallback>
        <control shapeId="2052" r:id="rId9" name="CommandButton4"/>
      </mc:Fallback>
    </mc:AlternateContent>
    <mc:AlternateContent xmlns:mc="http://schemas.openxmlformats.org/markup-compatibility/2006">
      <mc:Choice Requires="x14">
        <control shapeId="2053" r:id="rId11" name="CommandButton5">
          <controlPr defaultSize="0" r:id="rId12">
            <anchor moveWithCells="1">
              <from>
                <xdr:col>17</xdr:col>
                <xdr:colOff>64770</xdr:colOff>
                <xdr:row>0</xdr:row>
                <xdr:rowOff>300990</xdr:rowOff>
              </from>
              <to>
                <xdr:col>19</xdr:col>
                <xdr:colOff>568960</xdr:colOff>
                <xdr:row>2</xdr:row>
                <xdr:rowOff>64770</xdr:rowOff>
              </to>
            </anchor>
          </controlPr>
        </control>
      </mc:Choice>
      <mc:Fallback>
        <control shapeId="2053" r:id="rId11" name="CommandButton5"/>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XFC23"/>
  <sheetViews>
    <sheetView view="pageBreakPreview" zoomScaleNormal="100" topLeftCell="A4" workbookViewId="0">
      <selection activeCell="K13" sqref="K13"/>
    </sheetView>
  </sheetViews>
  <sheetFormatPr defaultColWidth="9" defaultRowHeight="13.5"/>
  <cols>
    <col min="1" max="1" width="14.625" style="2" customWidth="1"/>
    <col min="2" max="3" width="9" style="2"/>
    <col min="4" max="4" width="8.93333333333333" style="2" customWidth="1"/>
    <col min="5" max="6" width="9" style="2"/>
    <col min="7" max="7" width="10.125" style="2" customWidth="1"/>
    <col min="8" max="8" width="13" style="2" customWidth="1"/>
    <col min="9" max="9" width="13.875" style="2" customWidth="1"/>
    <col min="10" max="10" width="9" style="2"/>
    <col min="11" max="11" width="10.125" style="2"/>
    <col min="12" max="12" width="10.375" style="2"/>
    <col min="13" max="18" width="10.125" style="2"/>
    <col min="19" max="16378" width="9" style="2"/>
  </cols>
  <sheetData>
    <row r="1" s="1" customFormat="1" spans="1:16383">
      <c r="A1" s="3" t="s">
        <v>151</v>
      </c>
      <c r="B1" s="4"/>
      <c r="C1" s="5"/>
      <c r="D1" s="6"/>
      <c r="E1" s="7" t="s">
        <v>152</v>
      </c>
      <c r="F1" s="7"/>
      <c r="G1" s="7"/>
      <c r="H1" s="7"/>
      <c r="XEX1"/>
      <c r="XEY1"/>
      <c r="XEZ1"/>
      <c r="XFA1"/>
      <c r="XFB1"/>
      <c r="XFC1"/>
    </row>
    <row r="2" s="1" customFormat="1" spans="1:16383">
      <c r="A2" s="3"/>
      <c r="B2" s="4"/>
      <c r="C2" s="5"/>
      <c r="D2" s="8"/>
      <c r="E2" s="9" t="s">
        <v>153</v>
      </c>
      <c r="F2" s="10" t="s">
        <v>154</v>
      </c>
      <c r="G2" s="10"/>
      <c r="H2" s="10"/>
      <c r="XEX2"/>
      <c r="XEY2"/>
      <c r="XEZ2"/>
      <c r="XFA2"/>
      <c r="XFB2"/>
      <c r="XFC2"/>
    </row>
    <row r="3" s="1" customFormat="1" spans="1:16383">
      <c r="A3" s="11"/>
      <c r="B3" s="12"/>
      <c r="C3" s="12"/>
      <c r="D3" s="12"/>
      <c r="E3" s="13" t="s">
        <v>155</v>
      </c>
      <c r="F3" s="14" t="s">
        <v>156</v>
      </c>
      <c r="G3" s="14"/>
      <c r="H3" s="14"/>
      <c r="XEX3"/>
      <c r="XEY3"/>
      <c r="XEZ3"/>
      <c r="XFA3"/>
      <c r="XFB3"/>
      <c r="XFC3"/>
    </row>
    <row r="4" s="1" customFormat="1" ht="11" customHeight="1" spans="1:16383">
      <c r="A4" s="8"/>
      <c r="E4" s="15"/>
      <c r="F4" s="7"/>
      <c r="G4" s="7"/>
      <c r="H4" s="7"/>
      <c r="XEX4"/>
      <c r="XEY4"/>
      <c r="XEZ4"/>
      <c r="XFA4"/>
      <c r="XFB4"/>
      <c r="XFC4"/>
    </row>
    <row r="5" ht="26" customHeight="1" spans="1:9">
      <c r="A5" s="16" t="s">
        <v>157</v>
      </c>
      <c r="B5" s="16"/>
      <c r="C5" s="16"/>
      <c r="D5" s="16"/>
      <c r="E5" s="16"/>
      <c r="F5" s="16"/>
      <c r="G5" s="16"/>
      <c r="H5" s="16"/>
      <c r="I5" s="37" t="s">
        <v>158</v>
      </c>
    </row>
    <row r="6" s="1" customFormat="1" ht="35" customHeight="1" spans="1:8">
      <c r="A6" s="17" t="s">
        <v>2</v>
      </c>
      <c r="B6" s="18"/>
      <c r="C6" s="18"/>
      <c r="D6" s="18"/>
      <c r="E6" s="18"/>
      <c r="F6" s="18"/>
      <c r="G6" s="18"/>
      <c r="H6" s="18"/>
    </row>
    <row r="7" s="1" customFormat="1" ht="35" customHeight="1" spans="1:8">
      <c r="A7" s="17" t="s">
        <v>3</v>
      </c>
      <c r="B7" s="18"/>
      <c r="C7" s="18"/>
      <c r="D7" s="18"/>
      <c r="E7" s="18"/>
      <c r="F7" s="17" t="s">
        <v>10</v>
      </c>
      <c r="G7" s="17"/>
      <c r="H7" s="17"/>
    </row>
    <row r="8" s="1" customFormat="1" ht="35" customHeight="1" spans="1:18">
      <c r="A8" s="17" t="s">
        <v>5</v>
      </c>
      <c r="B8" s="18"/>
      <c r="C8" s="18"/>
      <c r="D8" s="18"/>
      <c r="E8" s="18"/>
      <c r="F8" s="17" t="s">
        <v>159</v>
      </c>
      <c r="G8" s="17"/>
      <c r="H8" s="17"/>
      <c r="K8" s="38"/>
      <c r="L8" s="38"/>
      <c r="M8" s="38"/>
      <c r="N8" s="38"/>
      <c r="O8" s="38"/>
      <c r="P8" s="38"/>
      <c r="Q8" s="38"/>
      <c r="R8" s="38"/>
    </row>
    <row r="9" s="1" customFormat="1" ht="35" customHeight="1" spans="1:18">
      <c r="A9" s="17" t="s">
        <v>4</v>
      </c>
      <c r="B9" s="18"/>
      <c r="C9" s="18"/>
      <c r="D9" s="18"/>
      <c r="E9" s="18"/>
      <c r="F9" s="17" t="s">
        <v>160</v>
      </c>
      <c r="G9" s="17" t="s">
        <v>161</v>
      </c>
      <c r="H9" s="17"/>
      <c r="K9" s="39"/>
      <c r="L9" s="40"/>
      <c r="M9" s="39"/>
      <c r="N9" s="39"/>
      <c r="O9" s="39"/>
      <c r="P9" s="39"/>
      <c r="Q9" s="39"/>
      <c r="R9" s="39"/>
    </row>
    <row r="10" s="1" customFormat="1" ht="35" customHeight="1" spans="1:8">
      <c r="A10" s="17" t="s">
        <v>59</v>
      </c>
      <c r="B10" s="18"/>
      <c r="C10" s="18"/>
      <c r="D10" s="18"/>
      <c r="E10" s="18"/>
      <c r="F10" s="17" t="s">
        <v>61</v>
      </c>
      <c r="G10" s="19"/>
      <c r="H10" s="19"/>
    </row>
    <row r="11" s="1" customFormat="1" ht="35" customHeight="1" spans="1:8">
      <c r="A11" s="17" t="s">
        <v>162</v>
      </c>
      <c r="B11" s="18"/>
      <c r="C11" s="18"/>
      <c r="D11" s="18"/>
      <c r="E11" s="18"/>
      <c r="F11" s="17" t="s">
        <v>64</v>
      </c>
      <c r="G11" s="19"/>
      <c r="H11" s="19"/>
    </row>
    <row r="12" s="1" customFormat="1" ht="35" customHeight="1" spans="1:8">
      <c r="A12" s="17" t="s">
        <v>163</v>
      </c>
      <c r="B12" s="18" t="s">
        <v>164</v>
      </c>
      <c r="C12" s="18"/>
      <c r="D12" s="18"/>
      <c r="E12" s="18"/>
      <c r="F12" s="17" t="s">
        <v>128</v>
      </c>
      <c r="G12" s="19"/>
      <c r="H12" s="19"/>
    </row>
    <row r="13" s="1" customFormat="1" ht="35" customHeight="1" spans="1:8">
      <c r="A13" s="17" t="s">
        <v>60</v>
      </c>
      <c r="B13" s="18" t="s">
        <v>165</v>
      </c>
      <c r="C13" s="18"/>
      <c r="D13" s="18"/>
      <c r="E13" s="18"/>
      <c r="F13" s="17" t="s">
        <v>129</v>
      </c>
      <c r="G13" s="19"/>
      <c r="H13" s="19"/>
    </row>
    <row r="14" s="1" customFormat="1" ht="35" customHeight="1" spans="1:8">
      <c r="A14" s="17" t="s">
        <v>166</v>
      </c>
      <c r="B14" s="18" t="s">
        <v>167</v>
      </c>
      <c r="C14" s="18"/>
      <c r="D14" s="18"/>
      <c r="E14" s="18"/>
      <c r="F14" s="18"/>
      <c r="G14" s="18"/>
      <c r="H14" s="18"/>
    </row>
    <row r="15" s="1" customFormat="1" ht="35" customHeight="1" spans="1:8">
      <c r="A15" s="17" t="s">
        <v>168</v>
      </c>
      <c r="B15" s="18" t="s">
        <v>169</v>
      </c>
      <c r="C15" s="18"/>
      <c r="D15" s="18"/>
      <c r="E15" s="18"/>
      <c r="F15" s="18"/>
      <c r="G15" s="18"/>
      <c r="H15" s="18"/>
    </row>
    <row r="16" s="1" customFormat="1" ht="35" customHeight="1" spans="1:8">
      <c r="A16" s="17" t="s">
        <v>170</v>
      </c>
      <c r="B16" s="17" t="s">
        <v>171</v>
      </c>
      <c r="C16" s="17"/>
      <c r="D16" s="17"/>
      <c r="E16" s="17" t="s">
        <v>172</v>
      </c>
      <c r="F16" s="18" t="s">
        <v>173</v>
      </c>
      <c r="G16" s="17" t="s">
        <v>174</v>
      </c>
      <c r="H16" s="17"/>
    </row>
    <row r="17" s="1" customFormat="1" ht="35" customHeight="1" spans="1:8">
      <c r="A17" s="17">
        <v>1</v>
      </c>
      <c r="B17" s="17" t="s">
        <v>117</v>
      </c>
      <c r="C17" s="17"/>
      <c r="D17" s="17"/>
      <c r="E17" s="20"/>
      <c r="F17" s="20" t="str">
        <f t="shared" ref="F17:F19" si="0">IF(E17&lt;&gt;"",E17*1000/10^4*0.95,"")</f>
        <v/>
      </c>
      <c r="G17" s="21" t="str">
        <f>IF(OR(F17&lt;&gt;"",F18&lt;&gt;"",F19&lt;&gt;""),ROUND(AVERAGE(F17:F19),1),"")</f>
        <v/>
      </c>
      <c r="H17" s="22"/>
    </row>
    <row r="18" s="1" customFormat="1" ht="35" customHeight="1" spans="1:8">
      <c r="A18" s="17">
        <v>2</v>
      </c>
      <c r="B18" s="17" t="s">
        <v>117</v>
      </c>
      <c r="C18" s="17"/>
      <c r="D18" s="17"/>
      <c r="E18" s="20"/>
      <c r="F18" s="20" t="str">
        <f t="shared" si="0"/>
        <v/>
      </c>
      <c r="G18" s="23"/>
      <c r="H18" s="24"/>
    </row>
    <row r="19" s="1" customFormat="1" ht="35" customHeight="1" spans="1:8">
      <c r="A19" s="17">
        <v>3</v>
      </c>
      <c r="B19" s="17" t="s">
        <v>117</v>
      </c>
      <c r="C19" s="17"/>
      <c r="D19" s="17"/>
      <c r="E19" s="20"/>
      <c r="F19" s="20" t="str">
        <f t="shared" si="0"/>
        <v/>
      </c>
      <c r="G19" s="25"/>
      <c r="H19" s="26"/>
    </row>
    <row r="20" s="1" customFormat="1" ht="35" customHeight="1" spans="1:8">
      <c r="A20" s="17" t="s">
        <v>11</v>
      </c>
      <c r="B20" s="18" t="s">
        <v>175</v>
      </c>
      <c r="C20" s="18"/>
      <c r="D20" s="18"/>
      <c r="E20" s="18"/>
      <c r="F20" s="18"/>
      <c r="G20" s="18"/>
      <c r="H20" s="18"/>
    </row>
    <row r="21" s="1" customFormat="1" ht="57" customHeight="1" spans="1:8">
      <c r="A21" s="27" t="s">
        <v>176</v>
      </c>
      <c r="B21" s="28" t="s">
        <v>177</v>
      </c>
      <c r="C21" s="29"/>
      <c r="D21" s="29"/>
      <c r="E21" s="29"/>
      <c r="F21" s="29"/>
      <c r="G21" s="29"/>
      <c r="H21" s="30"/>
    </row>
    <row r="22" s="1" customFormat="1" ht="48" customHeight="1" spans="1:8">
      <c r="A22" s="31"/>
      <c r="B22" s="32"/>
      <c r="C22" s="32"/>
      <c r="D22" s="32"/>
      <c r="E22" s="32"/>
      <c r="F22" s="32"/>
      <c r="G22" s="32"/>
      <c r="H22" s="32"/>
    </row>
    <row r="23" s="1" customFormat="1" ht="42" customHeight="1" spans="1:10">
      <c r="A23" s="33" t="s">
        <v>178</v>
      </c>
      <c r="B23" s="34"/>
      <c r="C23" s="34"/>
      <c r="D23" s="35" t="s">
        <v>179</v>
      </c>
      <c r="E23" s="35"/>
      <c r="F23" s="36"/>
      <c r="G23" s="36" t="s">
        <v>180</v>
      </c>
      <c r="H23" s="34"/>
      <c r="I23" s="34"/>
      <c r="J23" s="34"/>
    </row>
  </sheetData>
  <mergeCells count="32">
    <mergeCell ref="E1:H1"/>
    <mergeCell ref="F2:H2"/>
    <mergeCell ref="F3:H3"/>
    <mergeCell ref="A5:H5"/>
    <mergeCell ref="B6:H6"/>
    <mergeCell ref="B7:E7"/>
    <mergeCell ref="G7:H7"/>
    <mergeCell ref="B8:E8"/>
    <mergeCell ref="G8:H8"/>
    <mergeCell ref="B9:E9"/>
    <mergeCell ref="G9:H9"/>
    <mergeCell ref="B10:E10"/>
    <mergeCell ref="G10:H10"/>
    <mergeCell ref="B11:E11"/>
    <mergeCell ref="G11:H11"/>
    <mergeCell ref="B12:E12"/>
    <mergeCell ref="G12:H12"/>
    <mergeCell ref="B13:E13"/>
    <mergeCell ref="G13:H13"/>
    <mergeCell ref="B14:H14"/>
    <mergeCell ref="B15:H15"/>
    <mergeCell ref="B16:D16"/>
    <mergeCell ref="G16:H16"/>
    <mergeCell ref="B17:D17"/>
    <mergeCell ref="B18:D18"/>
    <mergeCell ref="B19:D19"/>
    <mergeCell ref="B20:H20"/>
    <mergeCell ref="B21:H21"/>
    <mergeCell ref="I23:J23"/>
    <mergeCell ref="A1:A2"/>
    <mergeCell ref="B1:C2"/>
    <mergeCell ref="G17:H19"/>
  </mergeCells>
  <hyperlinks>
    <hyperlink ref="I5" location="委托单!A1" display="返回委托单"/>
  </hyperlinks>
  <printOptions horizontalCentered="1"/>
  <pageMargins left="0.751388888888889" right="0.751388888888889" top="0.354166666666667" bottom="0.472222222222222" header="0.196527777777778" footer="0.275"/>
  <pageSetup paperSize="9" orientation="portrait" horizontalDpi="600"/>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XFC23"/>
  <sheetViews>
    <sheetView view="pageBreakPreview" zoomScaleNormal="100" topLeftCell="A4" workbookViewId="0">
      <selection activeCell="K13" sqref="K13"/>
    </sheetView>
  </sheetViews>
  <sheetFormatPr defaultColWidth="9" defaultRowHeight="13.5"/>
  <cols>
    <col min="1" max="1" width="14.625" style="2" customWidth="1"/>
    <col min="2" max="3" width="9" style="2"/>
    <col min="4" max="4" width="8.93333333333333" style="2" customWidth="1"/>
    <col min="5" max="6" width="9" style="2"/>
    <col min="7" max="7" width="10.125" style="2" customWidth="1"/>
    <col min="8" max="8" width="13" style="2" customWidth="1"/>
    <col min="9" max="9" width="13.875" style="2" customWidth="1"/>
    <col min="10" max="10" width="9" style="2"/>
    <col min="11" max="11" width="10.125" style="2"/>
    <col min="12" max="12" width="10.375" style="2"/>
    <col min="13" max="18" width="10.125" style="2"/>
    <col min="19" max="16378" width="9" style="2"/>
  </cols>
  <sheetData>
    <row r="1" s="1" customFormat="1" spans="1:16383">
      <c r="A1" s="3" t="s">
        <v>151</v>
      </c>
      <c r="B1" s="4" t="s">
        <v>113</v>
      </c>
      <c r="C1" s="5"/>
      <c r="D1" s="6"/>
      <c r="E1" s="7" t="s">
        <v>152</v>
      </c>
      <c r="F1" s="7"/>
      <c r="G1" s="7"/>
      <c r="H1" s="7"/>
      <c r="XEX1"/>
      <c r="XEY1"/>
      <c r="XEZ1"/>
      <c r="XFA1"/>
      <c r="XFB1"/>
      <c r="XFC1"/>
    </row>
    <row r="2" s="1" customFormat="1" spans="1:16383">
      <c r="A2" s="3"/>
      <c r="B2" s="4"/>
      <c r="C2" s="5"/>
      <c r="D2" s="8"/>
      <c r="E2" s="9" t="s">
        <v>153</v>
      </c>
      <c r="F2" s="10" t="s">
        <v>154</v>
      </c>
      <c r="G2" s="10"/>
      <c r="H2" s="10"/>
      <c r="XEX2"/>
      <c r="XEY2"/>
      <c r="XEZ2"/>
      <c r="XFA2"/>
      <c r="XFB2"/>
      <c r="XFC2"/>
    </row>
    <row r="3" s="1" customFormat="1" spans="1:16383">
      <c r="A3" s="11"/>
      <c r="B3" s="12"/>
      <c r="C3" s="12"/>
      <c r="D3" s="12"/>
      <c r="E3" s="13" t="s">
        <v>155</v>
      </c>
      <c r="F3" s="14" t="s">
        <v>156</v>
      </c>
      <c r="G3" s="14"/>
      <c r="H3" s="14"/>
      <c r="XEX3"/>
      <c r="XEY3"/>
      <c r="XEZ3"/>
      <c r="XFA3"/>
      <c r="XFB3"/>
      <c r="XFC3"/>
    </row>
    <row r="4" s="1" customFormat="1" ht="11" customHeight="1" spans="1:16383">
      <c r="A4" s="8"/>
      <c r="E4" s="15"/>
      <c r="F4" s="7"/>
      <c r="G4" s="7"/>
      <c r="H4" s="7"/>
      <c r="XEX4"/>
      <c r="XEY4"/>
      <c r="XEZ4"/>
      <c r="XFA4"/>
      <c r="XFB4"/>
      <c r="XFC4"/>
    </row>
    <row r="5" ht="26" customHeight="1" spans="1:9">
      <c r="A5" s="16" t="s">
        <v>157</v>
      </c>
      <c r="B5" s="16"/>
      <c r="C5" s="16"/>
      <c r="D5" s="16"/>
      <c r="E5" s="16"/>
      <c r="F5" s="16"/>
      <c r="G5" s="16"/>
      <c r="H5" s="16"/>
      <c r="I5" s="37" t="s">
        <v>158</v>
      </c>
    </row>
    <row r="6" s="1" customFormat="1" ht="35" customHeight="1" spans="1:8">
      <c r="A6" s="17" t="s">
        <v>2</v>
      </c>
      <c r="B6" s="18" t="s">
        <v>50</v>
      </c>
      <c r="C6" s="18"/>
      <c r="D6" s="18"/>
      <c r="E6" s="18"/>
      <c r="F6" s="18"/>
      <c r="G6" s="18"/>
      <c r="H6" s="18"/>
    </row>
    <row r="7" s="1" customFormat="1" ht="35" customHeight="1" spans="1:8">
      <c r="A7" s="17" t="s">
        <v>3</v>
      </c>
      <c r="B7" s="18" t="s">
        <v>51</v>
      </c>
      <c r="C7" s="18"/>
      <c r="D7" s="18"/>
      <c r="E7" s="18"/>
      <c r="F7" s="17" t="s">
        <v>10</v>
      </c>
      <c r="G7" s="17" t="s">
        <v>48</v>
      </c>
      <c r="H7" s="17"/>
    </row>
    <row r="8" s="1" customFormat="1" ht="35" customHeight="1" spans="1:18">
      <c r="A8" s="17" t="s">
        <v>5</v>
      </c>
      <c r="B8" s="18" t="s">
        <v>46</v>
      </c>
      <c r="C8" s="18"/>
      <c r="D8" s="18"/>
      <c r="E8" s="18"/>
      <c r="F8" s="17" t="s">
        <v>159</v>
      </c>
      <c r="G8" s="17" t="s">
        <v>46</v>
      </c>
      <c r="H8" s="17"/>
      <c r="K8" s="38"/>
      <c r="L8" s="38"/>
      <c r="M8" s="38"/>
      <c r="N8" s="38"/>
      <c r="O8" s="38"/>
      <c r="P8" s="38"/>
      <c r="Q8" s="38"/>
      <c r="R8" s="38"/>
    </row>
    <row r="9" s="1" customFormat="1" ht="35" customHeight="1" spans="1:18">
      <c r="A9" s="17" t="s">
        <v>4</v>
      </c>
      <c r="B9" s="18" t="s">
        <v>51</v>
      </c>
      <c r="C9" s="18"/>
      <c r="D9" s="18"/>
      <c r="E9" s="18"/>
      <c r="F9" s="17" t="s">
        <v>160</v>
      </c>
      <c r="G9" s="17" t="s">
        <v>161</v>
      </c>
      <c r="H9" s="17"/>
      <c r="K9" s="39"/>
      <c r="L9" s="40"/>
      <c r="M9" s="39"/>
      <c r="N9" s="39"/>
      <c r="O9" s="39"/>
      <c r="P9" s="39"/>
      <c r="Q9" s="39"/>
      <c r="R9" s="39"/>
    </row>
    <row r="10" s="1" customFormat="1" ht="35" customHeight="1" spans="1:8">
      <c r="A10" s="17" t="s">
        <v>59</v>
      </c>
      <c r="B10" s="18" t="s">
        <v>112</v>
      </c>
      <c r="C10" s="18"/>
      <c r="D10" s="18"/>
      <c r="E10" s="18"/>
      <c r="F10" s="17" t="s">
        <v>61</v>
      </c>
      <c r="G10" s="19">
        <v>44420</v>
      </c>
      <c r="H10" s="19"/>
    </row>
    <row r="11" s="1" customFormat="1" ht="35" customHeight="1" spans="1:8">
      <c r="A11" s="17" t="s">
        <v>162</v>
      </c>
      <c r="B11" s="18" t="s">
        <v>67</v>
      </c>
      <c r="C11" s="18"/>
      <c r="D11" s="18"/>
      <c r="E11" s="18"/>
      <c r="F11" s="17" t="s">
        <v>64</v>
      </c>
      <c r="G11" s="19">
        <v>44448</v>
      </c>
      <c r="H11" s="19"/>
    </row>
    <row r="12" s="1" customFormat="1" ht="35" customHeight="1" spans="1:8">
      <c r="A12" s="17" t="s">
        <v>163</v>
      </c>
      <c r="B12" s="18" t="s">
        <v>181</v>
      </c>
      <c r="C12" s="18"/>
      <c r="D12" s="18"/>
      <c r="E12" s="18"/>
      <c r="F12" s="17" t="s">
        <v>128</v>
      </c>
      <c r="G12" s="19">
        <v>44448</v>
      </c>
      <c r="H12" s="19"/>
    </row>
    <row r="13" s="1" customFormat="1" ht="35" customHeight="1" spans="1:8">
      <c r="A13" s="17" t="s">
        <v>60</v>
      </c>
      <c r="B13" s="18" t="s">
        <v>182</v>
      </c>
      <c r="C13" s="18"/>
      <c r="D13" s="18"/>
      <c r="E13" s="18"/>
      <c r="F13" s="17" t="s">
        <v>129</v>
      </c>
      <c r="G13" s="19">
        <v>44450</v>
      </c>
      <c r="H13" s="19"/>
    </row>
    <row r="14" s="1" customFormat="1" ht="35" customHeight="1" spans="1:8">
      <c r="A14" s="17" t="s">
        <v>166</v>
      </c>
      <c r="B14" s="18" t="s">
        <v>167</v>
      </c>
      <c r="C14" s="18"/>
      <c r="D14" s="18"/>
      <c r="E14" s="18"/>
      <c r="F14" s="18"/>
      <c r="G14" s="18"/>
      <c r="H14" s="18"/>
    </row>
    <row r="15" s="1" customFormat="1" ht="35" customHeight="1" spans="1:8">
      <c r="A15" s="17" t="s">
        <v>168</v>
      </c>
      <c r="B15" s="18" t="s">
        <v>169</v>
      </c>
      <c r="C15" s="18"/>
      <c r="D15" s="18"/>
      <c r="E15" s="18"/>
      <c r="F15" s="18"/>
      <c r="G15" s="18"/>
      <c r="H15" s="18"/>
    </row>
    <row r="16" s="1" customFormat="1" ht="35" customHeight="1" spans="1:8">
      <c r="A16" s="17" t="s">
        <v>170</v>
      </c>
      <c r="B16" s="17" t="s">
        <v>171</v>
      </c>
      <c r="C16" s="17"/>
      <c r="D16" s="17"/>
      <c r="E16" s="17" t="s">
        <v>172</v>
      </c>
      <c r="F16" s="18" t="s">
        <v>173</v>
      </c>
      <c r="G16" s="17" t="s">
        <v>174</v>
      </c>
      <c r="H16" s="17"/>
    </row>
    <row r="17" s="1" customFormat="1" ht="35" customHeight="1" spans="1:8">
      <c r="A17" s="17">
        <v>1</v>
      </c>
      <c r="B17" s="17" t="s">
        <v>68</v>
      </c>
      <c r="C17" s="17"/>
      <c r="D17" s="17"/>
      <c r="E17" s="20">
        <v>354.7</v>
      </c>
      <c r="F17" s="20">
        <v>33.6965</v>
      </c>
      <c r="G17" s="21">
        <v>32.148</v>
      </c>
      <c r="H17" s="22"/>
    </row>
    <row r="18" s="1" customFormat="1" ht="35" customHeight="1" spans="1:8">
      <c r="A18" s="17">
        <v>2</v>
      </c>
      <c r="B18" s="17" t="s">
        <v>68</v>
      </c>
      <c r="C18" s="17"/>
      <c r="D18" s="17"/>
      <c r="E18" s="20">
        <v>322.6</v>
      </c>
      <c r="F18" s="20">
        <v>30.647</v>
      </c>
      <c r="G18" s="23"/>
      <c r="H18" s="24"/>
    </row>
    <row r="19" s="1" customFormat="1" ht="35" customHeight="1" spans="1:8">
      <c r="A19" s="17">
        <v>3</v>
      </c>
      <c r="B19" s="17" t="s">
        <v>68</v>
      </c>
      <c r="C19" s="17"/>
      <c r="D19" s="17"/>
      <c r="E19" s="20">
        <v>337.9</v>
      </c>
      <c r="F19" s="20">
        <v>32.1005</v>
      </c>
      <c r="G19" s="25"/>
      <c r="H19" s="26"/>
    </row>
    <row r="20" s="1" customFormat="1" ht="35" customHeight="1" spans="1:8">
      <c r="A20" s="17" t="s">
        <v>11</v>
      </c>
      <c r="B20" s="18" t="s">
        <v>175</v>
      </c>
      <c r="C20" s="18"/>
      <c r="D20" s="18"/>
      <c r="E20" s="18"/>
      <c r="F20" s="18"/>
      <c r="G20" s="18"/>
      <c r="H20" s="18"/>
    </row>
    <row r="21" s="1" customFormat="1" ht="57" customHeight="1" spans="1:8">
      <c r="A21" s="27" t="s">
        <v>176</v>
      </c>
      <c r="B21" s="28" t="s">
        <v>177</v>
      </c>
      <c r="C21" s="29"/>
      <c r="D21" s="29"/>
      <c r="E21" s="29"/>
      <c r="F21" s="29"/>
      <c r="G21" s="29"/>
      <c r="H21" s="30"/>
    </row>
    <row r="22" s="1" customFormat="1" ht="48" customHeight="1" spans="1:8">
      <c r="A22" s="31"/>
      <c r="B22" s="32"/>
      <c r="C22" s="32"/>
      <c r="D22" s="32"/>
      <c r="E22" s="32"/>
      <c r="F22" s="32"/>
      <c r="G22" s="32"/>
      <c r="H22" s="32"/>
    </row>
    <row r="23" s="1" customFormat="1" ht="42" customHeight="1" spans="1:10">
      <c r="A23" s="33" t="s">
        <v>178</v>
      </c>
      <c r="B23" s="34"/>
      <c r="C23" s="34"/>
      <c r="D23" s="35" t="s">
        <v>179</v>
      </c>
      <c r="E23" s="35"/>
      <c r="F23" s="36"/>
      <c r="G23" s="36" t="s">
        <v>180</v>
      </c>
      <c r="H23" s="34"/>
      <c r="I23" s="34"/>
      <c r="J23" s="34"/>
    </row>
  </sheetData>
  <mergeCells count="32">
    <mergeCell ref="E1:H1"/>
    <mergeCell ref="F2:H2"/>
    <mergeCell ref="F3:H3"/>
    <mergeCell ref="A5:H5"/>
    <mergeCell ref="B6:H6"/>
    <mergeCell ref="B7:E7"/>
    <mergeCell ref="G7:H7"/>
    <mergeCell ref="B8:E8"/>
    <mergeCell ref="G8:H8"/>
    <mergeCell ref="B9:E9"/>
    <mergeCell ref="G9:H9"/>
    <mergeCell ref="B10:E10"/>
    <mergeCell ref="G10:H10"/>
    <mergeCell ref="B11:E11"/>
    <mergeCell ref="G11:H11"/>
    <mergeCell ref="B12:E12"/>
    <mergeCell ref="G12:H12"/>
    <mergeCell ref="B13:E13"/>
    <mergeCell ref="G13:H13"/>
    <mergeCell ref="B14:H14"/>
    <mergeCell ref="B15:H15"/>
    <mergeCell ref="B16:D16"/>
    <mergeCell ref="G16:H16"/>
    <mergeCell ref="B17:D17"/>
    <mergeCell ref="B18:D18"/>
    <mergeCell ref="B19:D19"/>
    <mergeCell ref="B20:H20"/>
    <mergeCell ref="B21:H21"/>
    <mergeCell ref="I23:J23"/>
    <mergeCell ref="A1:A2"/>
    <mergeCell ref="B1:C2"/>
    <mergeCell ref="G17:H19"/>
  </mergeCells>
  <hyperlinks>
    <hyperlink ref="I5" location="委托单!A1" display="返回委托单"/>
  </hyperlinks>
  <printOptions horizontalCentered="1"/>
  <pageMargins left="0.751388888888889" right="0.751388888888889" top="0.354166666666667" bottom="0.472222222222222" header="0.196527777777778" footer="0.275"/>
  <pageSetup paperSize="9"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XFC23"/>
  <sheetViews>
    <sheetView view="pageBreakPreview" zoomScaleNormal="100" topLeftCell="A4" workbookViewId="0">
      <selection activeCell="K13" sqref="K13"/>
    </sheetView>
  </sheetViews>
  <sheetFormatPr defaultColWidth="9" defaultRowHeight="13.5"/>
  <cols>
    <col min="1" max="1" width="14.625" style="2" customWidth="1"/>
    <col min="2" max="3" width="9" style="2"/>
    <col min="4" max="4" width="8.93333333333333" style="2" customWidth="1"/>
    <col min="5" max="6" width="9" style="2"/>
    <col min="7" max="7" width="10.125" style="2" customWidth="1"/>
    <col min="8" max="8" width="13" style="2" customWidth="1"/>
    <col min="9" max="9" width="13.875" style="2" customWidth="1"/>
    <col min="10" max="10" width="9" style="2"/>
    <col min="11" max="11" width="10.125" style="2"/>
    <col min="12" max="12" width="10.375" style="2"/>
    <col min="13" max="18" width="10.125" style="2"/>
    <col min="19" max="16378" width="9" style="2"/>
  </cols>
  <sheetData>
    <row r="1" s="1" customFormat="1" spans="1:16383">
      <c r="A1" s="3" t="s">
        <v>151</v>
      </c>
      <c r="B1" s="4" t="s">
        <v>111</v>
      </c>
      <c r="C1" s="5"/>
      <c r="D1" s="6"/>
      <c r="E1" s="7" t="s">
        <v>152</v>
      </c>
      <c r="F1" s="7"/>
      <c r="G1" s="7"/>
      <c r="H1" s="7"/>
      <c r="XEX1"/>
      <c r="XEY1"/>
      <c r="XEZ1"/>
      <c r="XFA1"/>
      <c r="XFB1"/>
      <c r="XFC1"/>
    </row>
    <row r="2" s="1" customFormat="1" spans="1:16383">
      <c r="A2" s="3"/>
      <c r="B2" s="4"/>
      <c r="C2" s="5"/>
      <c r="D2" s="8"/>
      <c r="E2" s="9" t="s">
        <v>153</v>
      </c>
      <c r="F2" s="10" t="s">
        <v>154</v>
      </c>
      <c r="G2" s="10"/>
      <c r="H2" s="10"/>
      <c r="XEX2"/>
      <c r="XEY2"/>
      <c r="XEZ2"/>
      <c r="XFA2"/>
      <c r="XFB2"/>
      <c r="XFC2"/>
    </row>
    <row r="3" s="1" customFormat="1" spans="1:16383">
      <c r="A3" s="11"/>
      <c r="B3" s="12"/>
      <c r="C3" s="12"/>
      <c r="D3" s="12"/>
      <c r="E3" s="13" t="s">
        <v>155</v>
      </c>
      <c r="F3" s="14" t="s">
        <v>156</v>
      </c>
      <c r="G3" s="14"/>
      <c r="H3" s="14"/>
      <c r="XEX3"/>
      <c r="XEY3"/>
      <c r="XEZ3"/>
      <c r="XFA3"/>
      <c r="XFB3"/>
      <c r="XFC3"/>
    </row>
    <row r="4" s="1" customFormat="1" ht="11" customHeight="1" spans="1:16383">
      <c r="A4" s="8"/>
      <c r="E4" s="15"/>
      <c r="F4" s="7"/>
      <c r="G4" s="7"/>
      <c r="H4" s="7"/>
      <c r="XEX4"/>
      <c r="XEY4"/>
      <c r="XEZ4"/>
      <c r="XFA4"/>
      <c r="XFB4"/>
      <c r="XFC4"/>
    </row>
    <row r="5" ht="26" customHeight="1" spans="1:9">
      <c r="A5" s="16" t="s">
        <v>157</v>
      </c>
      <c r="B5" s="16"/>
      <c r="C5" s="16"/>
      <c r="D5" s="16"/>
      <c r="E5" s="16"/>
      <c r="F5" s="16"/>
      <c r="G5" s="16"/>
      <c r="H5" s="16"/>
      <c r="I5" s="37" t="s">
        <v>158</v>
      </c>
    </row>
    <row r="6" s="1" customFormat="1" ht="35" customHeight="1" spans="1:8">
      <c r="A6" s="17" t="s">
        <v>2</v>
      </c>
      <c r="B6" s="18" t="s">
        <v>50</v>
      </c>
      <c r="C6" s="18"/>
      <c r="D6" s="18"/>
      <c r="E6" s="18"/>
      <c r="F6" s="18"/>
      <c r="G6" s="18"/>
      <c r="H6" s="18"/>
    </row>
    <row r="7" s="1" customFormat="1" ht="35" customHeight="1" spans="1:8">
      <c r="A7" s="17" t="s">
        <v>3</v>
      </c>
      <c r="B7" s="18" t="s">
        <v>51</v>
      </c>
      <c r="C7" s="18"/>
      <c r="D7" s="18"/>
      <c r="E7" s="18"/>
      <c r="F7" s="17" t="s">
        <v>10</v>
      </c>
      <c r="G7" s="17" t="s">
        <v>48</v>
      </c>
      <c r="H7" s="17"/>
    </row>
    <row r="8" s="1" customFormat="1" ht="35" customHeight="1" spans="1:18">
      <c r="A8" s="17" t="s">
        <v>5</v>
      </c>
      <c r="B8" s="18" t="s">
        <v>46</v>
      </c>
      <c r="C8" s="18"/>
      <c r="D8" s="18"/>
      <c r="E8" s="18"/>
      <c r="F8" s="17" t="s">
        <v>159</v>
      </c>
      <c r="G8" s="17" t="s">
        <v>46</v>
      </c>
      <c r="H8" s="17"/>
      <c r="K8" s="38"/>
      <c r="L8" s="38"/>
      <c r="M8" s="38"/>
      <c r="N8" s="38"/>
      <c r="O8" s="38"/>
      <c r="P8" s="38"/>
      <c r="Q8" s="38"/>
      <c r="R8" s="38"/>
    </row>
    <row r="9" s="1" customFormat="1" ht="35" customHeight="1" spans="1:18">
      <c r="A9" s="17" t="s">
        <v>4</v>
      </c>
      <c r="B9" s="18" t="s">
        <v>51</v>
      </c>
      <c r="C9" s="18"/>
      <c r="D9" s="18"/>
      <c r="E9" s="18"/>
      <c r="F9" s="17" t="s">
        <v>160</v>
      </c>
      <c r="G9" s="17" t="s">
        <v>161</v>
      </c>
      <c r="H9" s="17"/>
      <c r="K9" s="39"/>
      <c r="L9" s="40"/>
      <c r="M9" s="39"/>
      <c r="N9" s="39"/>
      <c r="O9" s="39"/>
      <c r="P9" s="39"/>
      <c r="Q9" s="39"/>
      <c r="R9" s="39"/>
    </row>
    <row r="10" s="1" customFormat="1" ht="35" customHeight="1" spans="1:8">
      <c r="A10" s="17" t="s">
        <v>59</v>
      </c>
      <c r="B10" s="18" t="s">
        <v>110</v>
      </c>
      <c r="C10" s="18"/>
      <c r="D10" s="18"/>
      <c r="E10" s="18"/>
      <c r="F10" s="17" t="s">
        <v>61</v>
      </c>
      <c r="G10" s="19">
        <v>44401</v>
      </c>
      <c r="H10" s="19"/>
    </row>
    <row r="11" s="1" customFormat="1" ht="35" customHeight="1" spans="1:8">
      <c r="A11" s="17" t="s">
        <v>162</v>
      </c>
      <c r="B11" s="18" t="s">
        <v>67</v>
      </c>
      <c r="C11" s="18"/>
      <c r="D11" s="18"/>
      <c r="E11" s="18"/>
      <c r="F11" s="17" t="s">
        <v>64</v>
      </c>
      <c r="G11" s="19">
        <v>44429</v>
      </c>
      <c r="H11" s="19"/>
    </row>
    <row r="12" s="1" customFormat="1" ht="35" customHeight="1" spans="1:8">
      <c r="A12" s="17" t="s">
        <v>163</v>
      </c>
      <c r="B12" s="18" t="s">
        <v>181</v>
      </c>
      <c r="C12" s="18"/>
      <c r="D12" s="18"/>
      <c r="E12" s="18"/>
      <c r="F12" s="17" t="s">
        <v>128</v>
      </c>
      <c r="G12" s="19">
        <v>44429</v>
      </c>
      <c r="H12" s="19"/>
    </row>
    <row r="13" s="1" customFormat="1" ht="35" customHeight="1" spans="1:8">
      <c r="A13" s="17" t="s">
        <v>60</v>
      </c>
      <c r="B13" s="18" t="s">
        <v>182</v>
      </c>
      <c r="C13" s="18"/>
      <c r="D13" s="18"/>
      <c r="E13" s="18"/>
      <c r="F13" s="17" t="s">
        <v>129</v>
      </c>
      <c r="G13" s="19">
        <v>44431</v>
      </c>
      <c r="H13" s="19"/>
    </row>
    <row r="14" s="1" customFormat="1" ht="35" customHeight="1" spans="1:8">
      <c r="A14" s="17" t="s">
        <v>166</v>
      </c>
      <c r="B14" s="18" t="s">
        <v>167</v>
      </c>
      <c r="C14" s="18"/>
      <c r="D14" s="18"/>
      <c r="E14" s="18"/>
      <c r="F14" s="18"/>
      <c r="G14" s="18"/>
      <c r="H14" s="18"/>
    </row>
    <row r="15" s="1" customFormat="1" ht="35" customHeight="1" spans="1:8">
      <c r="A15" s="17" t="s">
        <v>168</v>
      </c>
      <c r="B15" s="18" t="s">
        <v>169</v>
      </c>
      <c r="C15" s="18"/>
      <c r="D15" s="18"/>
      <c r="E15" s="18"/>
      <c r="F15" s="18"/>
      <c r="G15" s="18"/>
      <c r="H15" s="18"/>
    </row>
    <row r="16" s="1" customFormat="1" ht="35" customHeight="1" spans="1:8">
      <c r="A16" s="17" t="s">
        <v>170</v>
      </c>
      <c r="B16" s="17" t="s">
        <v>171</v>
      </c>
      <c r="C16" s="17"/>
      <c r="D16" s="17"/>
      <c r="E16" s="17" t="s">
        <v>172</v>
      </c>
      <c r="F16" s="18" t="s">
        <v>173</v>
      </c>
      <c r="G16" s="17" t="s">
        <v>174</v>
      </c>
      <c r="H16" s="17"/>
    </row>
    <row r="17" s="1" customFormat="1" ht="35" customHeight="1" spans="1:8">
      <c r="A17" s="17">
        <v>1</v>
      </c>
      <c r="B17" s="17" t="s">
        <v>68</v>
      </c>
      <c r="C17" s="17"/>
      <c r="D17" s="17"/>
      <c r="E17" s="20">
        <v>366.8</v>
      </c>
      <c r="F17" s="20">
        <v>34.846</v>
      </c>
      <c r="G17" s="21">
        <v>34.466</v>
      </c>
      <c r="H17" s="22"/>
    </row>
    <row r="18" s="1" customFormat="1" ht="35" customHeight="1" spans="1:8">
      <c r="A18" s="17">
        <v>2</v>
      </c>
      <c r="B18" s="17" t="s">
        <v>68</v>
      </c>
      <c r="C18" s="17"/>
      <c r="D18" s="17"/>
      <c r="E18" s="20">
        <v>373.1</v>
      </c>
      <c r="F18" s="20">
        <v>35.4445</v>
      </c>
      <c r="G18" s="23"/>
      <c r="H18" s="24"/>
    </row>
    <row r="19" s="1" customFormat="1" ht="35" customHeight="1" spans="1:8">
      <c r="A19" s="17">
        <v>3</v>
      </c>
      <c r="B19" s="17" t="s">
        <v>68</v>
      </c>
      <c r="C19" s="17"/>
      <c r="D19" s="17"/>
      <c r="E19" s="20">
        <v>348.5</v>
      </c>
      <c r="F19" s="20">
        <v>33.1075</v>
      </c>
      <c r="G19" s="25"/>
      <c r="H19" s="26"/>
    </row>
    <row r="20" s="1" customFormat="1" ht="35" customHeight="1" spans="1:8">
      <c r="A20" s="17" t="s">
        <v>11</v>
      </c>
      <c r="B20" s="18" t="s">
        <v>175</v>
      </c>
      <c r="C20" s="18"/>
      <c r="D20" s="18"/>
      <c r="E20" s="18"/>
      <c r="F20" s="18"/>
      <c r="G20" s="18"/>
      <c r="H20" s="18"/>
    </row>
    <row r="21" s="1" customFormat="1" ht="57" customHeight="1" spans="1:8">
      <c r="A21" s="27" t="s">
        <v>176</v>
      </c>
      <c r="B21" s="28" t="s">
        <v>177</v>
      </c>
      <c r="C21" s="29"/>
      <c r="D21" s="29"/>
      <c r="E21" s="29"/>
      <c r="F21" s="29"/>
      <c r="G21" s="29"/>
      <c r="H21" s="30"/>
    </row>
    <row r="22" s="1" customFormat="1" ht="48" customHeight="1" spans="1:8">
      <c r="A22" s="31"/>
      <c r="B22" s="32"/>
      <c r="C22" s="32"/>
      <c r="D22" s="32"/>
      <c r="E22" s="32"/>
      <c r="F22" s="32"/>
      <c r="G22" s="32"/>
      <c r="H22" s="32"/>
    </row>
    <row r="23" s="1" customFormat="1" ht="42" customHeight="1" spans="1:10">
      <c r="A23" s="33" t="s">
        <v>178</v>
      </c>
      <c r="B23" s="34"/>
      <c r="C23" s="34"/>
      <c r="D23" s="35" t="s">
        <v>179</v>
      </c>
      <c r="E23" s="35"/>
      <c r="F23" s="36"/>
      <c r="G23" s="36" t="s">
        <v>180</v>
      </c>
      <c r="H23" s="34"/>
      <c r="I23" s="34"/>
      <c r="J23" s="34"/>
    </row>
  </sheetData>
  <mergeCells count="32">
    <mergeCell ref="E1:H1"/>
    <mergeCell ref="F2:H2"/>
    <mergeCell ref="F3:H3"/>
    <mergeCell ref="A5:H5"/>
    <mergeCell ref="B6:H6"/>
    <mergeCell ref="B7:E7"/>
    <mergeCell ref="G7:H7"/>
    <mergeCell ref="B8:E8"/>
    <mergeCell ref="G8:H8"/>
    <mergeCell ref="B9:E9"/>
    <mergeCell ref="G9:H9"/>
    <mergeCell ref="B10:E10"/>
    <mergeCell ref="G10:H10"/>
    <mergeCell ref="B11:E11"/>
    <mergeCell ref="G11:H11"/>
    <mergeCell ref="B12:E12"/>
    <mergeCell ref="G12:H12"/>
    <mergeCell ref="B13:E13"/>
    <mergeCell ref="G13:H13"/>
    <mergeCell ref="B14:H14"/>
    <mergeCell ref="B15:H15"/>
    <mergeCell ref="B16:D16"/>
    <mergeCell ref="G16:H16"/>
    <mergeCell ref="B17:D17"/>
    <mergeCell ref="B18:D18"/>
    <mergeCell ref="B19:D19"/>
    <mergeCell ref="B20:H20"/>
    <mergeCell ref="B21:H21"/>
    <mergeCell ref="I23:J23"/>
    <mergeCell ref="A1:A2"/>
    <mergeCell ref="B1:C2"/>
    <mergeCell ref="G17:H19"/>
  </mergeCells>
  <hyperlinks>
    <hyperlink ref="I5" location="委托单!A1" display="返回委托单"/>
  </hyperlinks>
  <printOptions horizontalCentered="1"/>
  <pageMargins left="0.751388888888889" right="0.751388888888889" top="0.354166666666667" bottom="0.472222222222222" header="0.196527777777778" footer="0.275"/>
  <pageSetup paperSize="9" orientation="portrait" horizont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XFC23"/>
  <sheetViews>
    <sheetView view="pageBreakPreview" zoomScaleNormal="100" workbookViewId="0">
      <selection activeCell="K13" sqref="K13"/>
    </sheetView>
  </sheetViews>
  <sheetFormatPr defaultColWidth="9" defaultRowHeight="13.5"/>
  <cols>
    <col min="1" max="1" width="14.625" style="2" customWidth="1"/>
    <col min="2" max="3" width="9" style="2"/>
    <col min="4" max="4" width="8.93333333333333" style="2" customWidth="1"/>
    <col min="5" max="6" width="9" style="2"/>
    <col min="7" max="7" width="10.125" style="2" customWidth="1"/>
    <col min="8" max="8" width="13" style="2" customWidth="1"/>
    <col min="9" max="9" width="13.875" style="2" customWidth="1"/>
    <col min="10" max="10" width="9" style="2"/>
    <col min="11" max="11" width="10.125" style="2"/>
    <col min="12" max="12" width="10.375" style="2"/>
    <col min="13" max="18" width="10.125" style="2"/>
    <col min="19" max="16378" width="9" style="2"/>
  </cols>
  <sheetData>
    <row r="1" s="1" customFormat="1" spans="1:16383">
      <c r="A1" s="3" t="s">
        <v>151</v>
      </c>
      <c r="B1" s="4" t="s">
        <v>109</v>
      </c>
      <c r="C1" s="5"/>
      <c r="D1" s="6"/>
      <c r="E1" s="7" t="s">
        <v>152</v>
      </c>
      <c r="F1" s="7"/>
      <c r="G1" s="7"/>
      <c r="H1" s="7"/>
      <c r="XEX1"/>
      <c r="XEY1"/>
      <c r="XEZ1"/>
      <c r="XFA1"/>
      <c r="XFB1"/>
      <c r="XFC1"/>
    </row>
    <row r="2" s="1" customFormat="1" spans="1:16383">
      <c r="A2" s="3"/>
      <c r="B2" s="4"/>
      <c r="C2" s="5"/>
      <c r="D2" s="8"/>
      <c r="E2" s="9" t="s">
        <v>153</v>
      </c>
      <c r="F2" s="10" t="s">
        <v>154</v>
      </c>
      <c r="G2" s="10"/>
      <c r="H2" s="10"/>
      <c r="XEX2"/>
      <c r="XEY2"/>
      <c r="XEZ2"/>
      <c r="XFA2"/>
      <c r="XFB2"/>
      <c r="XFC2"/>
    </row>
    <row r="3" s="1" customFormat="1" spans="1:16383">
      <c r="A3" s="11"/>
      <c r="B3" s="12"/>
      <c r="C3" s="12"/>
      <c r="D3" s="12"/>
      <c r="E3" s="13" t="s">
        <v>155</v>
      </c>
      <c r="F3" s="14" t="s">
        <v>156</v>
      </c>
      <c r="G3" s="14"/>
      <c r="H3" s="14"/>
      <c r="XEX3"/>
      <c r="XEY3"/>
      <c r="XEZ3"/>
      <c r="XFA3"/>
      <c r="XFB3"/>
      <c r="XFC3"/>
    </row>
    <row r="4" s="1" customFormat="1" ht="11" customHeight="1" spans="1:16383">
      <c r="A4" s="8"/>
      <c r="E4" s="15"/>
      <c r="F4" s="7"/>
      <c r="G4" s="7"/>
      <c r="H4" s="7"/>
      <c r="XEX4"/>
      <c r="XEY4"/>
      <c r="XEZ4"/>
      <c r="XFA4"/>
      <c r="XFB4"/>
      <c r="XFC4"/>
    </row>
    <row r="5" ht="26" customHeight="1" spans="1:9">
      <c r="A5" s="16" t="s">
        <v>157</v>
      </c>
      <c r="B5" s="16"/>
      <c r="C5" s="16"/>
      <c r="D5" s="16"/>
      <c r="E5" s="16"/>
      <c r="F5" s="16"/>
      <c r="G5" s="16"/>
      <c r="H5" s="16"/>
      <c r="I5" s="37" t="s">
        <v>158</v>
      </c>
    </row>
    <row r="6" s="1" customFormat="1" ht="35" customHeight="1" spans="1:8">
      <c r="A6" s="17" t="s">
        <v>2</v>
      </c>
      <c r="B6" s="18" t="s">
        <v>50</v>
      </c>
      <c r="C6" s="18"/>
      <c r="D6" s="18"/>
      <c r="E6" s="18"/>
      <c r="F6" s="18"/>
      <c r="G6" s="18"/>
      <c r="H6" s="18"/>
    </row>
    <row r="7" s="1" customFormat="1" ht="35" customHeight="1" spans="1:8">
      <c r="A7" s="17" t="s">
        <v>3</v>
      </c>
      <c r="B7" s="18" t="s">
        <v>51</v>
      </c>
      <c r="C7" s="18"/>
      <c r="D7" s="18"/>
      <c r="E7" s="18"/>
      <c r="F7" s="17" t="s">
        <v>10</v>
      </c>
      <c r="G7" s="17" t="s">
        <v>48</v>
      </c>
      <c r="H7" s="17"/>
    </row>
    <row r="8" s="1" customFormat="1" ht="35" customHeight="1" spans="1:18">
      <c r="A8" s="17" t="s">
        <v>5</v>
      </c>
      <c r="B8" s="18" t="s">
        <v>46</v>
      </c>
      <c r="C8" s="18"/>
      <c r="D8" s="18"/>
      <c r="E8" s="18"/>
      <c r="F8" s="17" t="s">
        <v>159</v>
      </c>
      <c r="G8" s="17" t="s">
        <v>46</v>
      </c>
      <c r="H8" s="17"/>
      <c r="K8" s="38"/>
      <c r="L8" s="38"/>
      <c r="M8" s="38"/>
      <c r="N8" s="38"/>
      <c r="O8" s="38"/>
      <c r="P8" s="38"/>
      <c r="Q8" s="38"/>
      <c r="R8" s="38"/>
    </row>
    <row r="9" s="1" customFormat="1" ht="35" customHeight="1" spans="1:18">
      <c r="A9" s="17" t="s">
        <v>4</v>
      </c>
      <c r="B9" s="18" t="s">
        <v>51</v>
      </c>
      <c r="C9" s="18"/>
      <c r="D9" s="18"/>
      <c r="E9" s="18"/>
      <c r="F9" s="17" t="s">
        <v>160</v>
      </c>
      <c r="G9" s="17" t="s">
        <v>161</v>
      </c>
      <c r="H9" s="17"/>
      <c r="K9" s="39"/>
      <c r="L9" s="40"/>
      <c r="M9" s="39"/>
      <c r="N9" s="39"/>
      <c r="O9" s="39"/>
      <c r="P9" s="39"/>
      <c r="Q9" s="39"/>
      <c r="R9" s="39"/>
    </row>
    <row r="10" s="1" customFormat="1" ht="35" customHeight="1" spans="1:8">
      <c r="A10" s="17" t="s">
        <v>59</v>
      </c>
      <c r="B10" s="18" t="s">
        <v>108</v>
      </c>
      <c r="C10" s="18"/>
      <c r="D10" s="18"/>
      <c r="E10" s="18"/>
      <c r="F10" s="17" t="s">
        <v>61</v>
      </c>
      <c r="G10" s="19">
        <v>44390</v>
      </c>
      <c r="H10" s="19"/>
    </row>
    <row r="11" s="1" customFormat="1" ht="35" customHeight="1" spans="1:8">
      <c r="A11" s="17" t="s">
        <v>162</v>
      </c>
      <c r="B11" s="18" t="s">
        <v>67</v>
      </c>
      <c r="C11" s="18"/>
      <c r="D11" s="18"/>
      <c r="E11" s="18"/>
      <c r="F11" s="17" t="s">
        <v>64</v>
      </c>
      <c r="G11" s="19">
        <v>44418</v>
      </c>
      <c r="H11" s="19"/>
    </row>
    <row r="12" s="1" customFormat="1" ht="35" customHeight="1" spans="1:8">
      <c r="A12" s="17" t="s">
        <v>163</v>
      </c>
      <c r="B12" s="18" t="s">
        <v>181</v>
      </c>
      <c r="C12" s="18"/>
      <c r="D12" s="18"/>
      <c r="E12" s="18"/>
      <c r="F12" s="17" t="s">
        <v>128</v>
      </c>
      <c r="G12" s="19">
        <v>44418</v>
      </c>
      <c r="H12" s="19"/>
    </row>
    <row r="13" s="1" customFormat="1" ht="35" customHeight="1" spans="1:8">
      <c r="A13" s="17" t="s">
        <v>60</v>
      </c>
      <c r="B13" s="18" t="s">
        <v>182</v>
      </c>
      <c r="C13" s="18"/>
      <c r="D13" s="18"/>
      <c r="E13" s="18"/>
      <c r="F13" s="17" t="s">
        <v>129</v>
      </c>
      <c r="G13" s="19">
        <v>44420</v>
      </c>
      <c r="H13" s="19"/>
    </row>
    <row r="14" s="1" customFormat="1" ht="35" customHeight="1" spans="1:8">
      <c r="A14" s="17" t="s">
        <v>166</v>
      </c>
      <c r="B14" s="18" t="s">
        <v>167</v>
      </c>
      <c r="C14" s="18"/>
      <c r="D14" s="18"/>
      <c r="E14" s="18"/>
      <c r="F14" s="18"/>
      <c r="G14" s="18"/>
      <c r="H14" s="18"/>
    </row>
    <row r="15" s="1" customFormat="1" ht="35" customHeight="1" spans="1:8">
      <c r="A15" s="17" t="s">
        <v>168</v>
      </c>
      <c r="B15" s="18" t="s">
        <v>169</v>
      </c>
      <c r="C15" s="18"/>
      <c r="D15" s="18"/>
      <c r="E15" s="18"/>
      <c r="F15" s="18"/>
      <c r="G15" s="18"/>
      <c r="H15" s="18"/>
    </row>
    <row r="16" s="1" customFormat="1" ht="35" customHeight="1" spans="1:8">
      <c r="A16" s="17" t="s">
        <v>170</v>
      </c>
      <c r="B16" s="17" t="s">
        <v>171</v>
      </c>
      <c r="C16" s="17"/>
      <c r="D16" s="17"/>
      <c r="E16" s="17" t="s">
        <v>172</v>
      </c>
      <c r="F16" s="18" t="s">
        <v>173</v>
      </c>
      <c r="G16" s="17" t="s">
        <v>174</v>
      </c>
      <c r="H16" s="17"/>
    </row>
    <row r="17" s="1" customFormat="1" ht="35" customHeight="1" spans="1:8">
      <c r="A17" s="17">
        <v>1</v>
      </c>
      <c r="B17" s="17" t="s">
        <v>68</v>
      </c>
      <c r="C17" s="17"/>
      <c r="D17" s="17"/>
      <c r="E17" s="20">
        <v>350.8</v>
      </c>
      <c r="F17" s="20">
        <v>33.326</v>
      </c>
      <c r="G17" s="21">
        <v>31.3785</v>
      </c>
      <c r="H17" s="22"/>
    </row>
    <row r="18" s="1" customFormat="1" ht="35" customHeight="1" spans="1:8">
      <c r="A18" s="17">
        <v>2</v>
      </c>
      <c r="B18" s="17" t="s">
        <v>68</v>
      </c>
      <c r="C18" s="17"/>
      <c r="D18" s="17"/>
      <c r="E18" s="20">
        <v>320.2</v>
      </c>
      <c r="F18" s="20">
        <v>30.419</v>
      </c>
      <c r="G18" s="23"/>
      <c r="H18" s="24"/>
    </row>
    <row r="19" s="1" customFormat="1" ht="35" customHeight="1" spans="1:8">
      <c r="A19" s="17">
        <v>3</v>
      </c>
      <c r="B19" s="17" t="s">
        <v>68</v>
      </c>
      <c r="C19" s="17"/>
      <c r="D19" s="17"/>
      <c r="E19" s="20">
        <v>319.9</v>
      </c>
      <c r="F19" s="20">
        <v>30.3905</v>
      </c>
      <c r="G19" s="25"/>
      <c r="H19" s="26"/>
    </row>
    <row r="20" s="1" customFormat="1" ht="35" customHeight="1" spans="1:8">
      <c r="A20" s="17" t="s">
        <v>11</v>
      </c>
      <c r="B20" s="18" t="s">
        <v>175</v>
      </c>
      <c r="C20" s="18"/>
      <c r="D20" s="18"/>
      <c r="E20" s="18"/>
      <c r="F20" s="18"/>
      <c r="G20" s="18"/>
      <c r="H20" s="18"/>
    </row>
    <row r="21" s="1" customFormat="1" ht="57" customHeight="1" spans="1:8">
      <c r="A21" s="27" t="s">
        <v>176</v>
      </c>
      <c r="B21" s="28" t="s">
        <v>177</v>
      </c>
      <c r="C21" s="29"/>
      <c r="D21" s="29"/>
      <c r="E21" s="29"/>
      <c r="F21" s="29"/>
      <c r="G21" s="29"/>
      <c r="H21" s="30"/>
    </row>
    <row r="22" s="1" customFormat="1" ht="48" customHeight="1" spans="1:8">
      <c r="A22" s="31"/>
      <c r="B22" s="32"/>
      <c r="C22" s="32"/>
      <c r="D22" s="32"/>
      <c r="E22" s="32"/>
      <c r="F22" s="32"/>
      <c r="G22" s="32"/>
      <c r="H22" s="32"/>
    </row>
    <row r="23" s="1" customFormat="1" ht="42" customHeight="1" spans="1:10">
      <c r="A23" s="33" t="s">
        <v>178</v>
      </c>
      <c r="B23" s="34"/>
      <c r="C23" s="34"/>
      <c r="D23" s="35" t="s">
        <v>179</v>
      </c>
      <c r="E23" s="35"/>
      <c r="F23" s="36"/>
      <c r="G23" s="36" t="s">
        <v>180</v>
      </c>
      <c r="H23" s="34"/>
      <c r="I23" s="34"/>
      <c r="J23" s="34"/>
    </row>
  </sheetData>
  <mergeCells count="32">
    <mergeCell ref="E1:H1"/>
    <mergeCell ref="F2:H2"/>
    <mergeCell ref="F3:H3"/>
    <mergeCell ref="A5:H5"/>
    <mergeCell ref="B6:H6"/>
    <mergeCell ref="B7:E7"/>
    <mergeCell ref="G7:H7"/>
    <mergeCell ref="B8:E8"/>
    <mergeCell ref="G8:H8"/>
    <mergeCell ref="B9:E9"/>
    <mergeCell ref="G9:H9"/>
    <mergeCell ref="B10:E10"/>
    <mergeCell ref="G10:H10"/>
    <mergeCell ref="B11:E11"/>
    <mergeCell ref="G11:H11"/>
    <mergeCell ref="B12:E12"/>
    <mergeCell ref="G12:H12"/>
    <mergeCell ref="B13:E13"/>
    <mergeCell ref="G13:H13"/>
    <mergeCell ref="B14:H14"/>
    <mergeCell ref="B15:H15"/>
    <mergeCell ref="B16:D16"/>
    <mergeCell ref="G16:H16"/>
    <mergeCell ref="B17:D17"/>
    <mergeCell ref="B18:D18"/>
    <mergeCell ref="B19:D19"/>
    <mergeCell ref="B20:H20"/>
    <mergeCell ref="B21:H21"/>
    <mergeCell ref="I23:J23"/>
    <mergeCell ref="A1:A2"/>
    <mergeCell ref="B1:C2"/>
    <mergeCell ref="G17:H19"/>
  </mergeCells>
  <hyperlinks>
    <hyperlink ref="I5" location="委托单!A1" display="返回委托单"/>
  </hyperlinks>
  <printOptions horizontalCentered="1"/>
  <pageMargins left="0.751388888888889" right="0.751388888888889" top="0.354166666666667" bottom="0.472222222222222" header="0.196527777777778" footer="0.275"/>
  <pageSetup paperSize="9" orientation="portrait" horizontalDpi="600"/>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XFC23"/>
  <sheetViews>
    <sheetView tabSelected="1" view="pageBreakPreview" zoomScaleNormal="100" workbookViewId="0">
      <selection activeCell="J10" sqref="J10"/>
    </sheetView>
  </sheetViews>
  <sheetFormatPr defaultColWidth="9" defaultRowHeight="13.5"/>
  <cols>
    <col min="1" max="1" width="14.625" style="2" customWidth="1"/>
    <col min="2" max="3" width="9" style="2"/>
    <col min="4" max="4" width="8.93333333333333" style="2" customWidth="1"/>
    <col min="5" max="6" width="9" style="2"/>
    <col min="7" max="7" width="10.125" style="2" customWidth="1"/>
    <col min="8" max="8" width="13" style="2" customWidth="1"/>
    <col min="9" max="9" width="13.875" style="2" customWidth="1"/>
    <col min="10" max="10" width="9" style="2"/>
    <col min="11" max="11" width="10.125" style="2"/>
    <col min="12" max="12" width="10.375" style="2"/>
    <col min="13" max="18" width="10.125" style="2"/>
    <col min="19" max="16378" width="9" style="2"/>
  </cols>
  <sheetData>
    <row r="1" s="1" customFormat="1" spans="1:16383">
      <c r="A1" s="3" t="s">
        <v>151</v>
      </c>
      <c r="B1" s="4" t="s">
        <v>107</v>
      </c>
      <c r="C1" s="5"/>
      <c r="D1" s="6"/>
      <c r="E1" s="7" t="s">
        <v>152</v>
      </c>
      <c r="F1" s="7"/>
      <c r="G1" s="7"/>
      <c r="H1" s="7"/>
      <c r="XEX1"/>
      <c r="XEY1"/>
      <c r="XEZ1"/>
      <c r="XFA1"/>
      <c r="XFB1"/>
      <c r="XFC1"/>
    </row>
    <row r="2" s="1" customFormat="1" spans="1:16383">
      <c r="A2" s="3"/>
      <c r="B2" s="4"/>
      <c r="C2" s="5"/>
      <c r="D2" s="8"/>
      <c r="E2" s="9" t="s">
        <v>153</v>
      </c>
      <c r="F2" s="10" t="s">
        <v>154</v>
      </c>
      <c r="G2" s="10"/>
      <c r="H2" s="10"/>
      <c r="XEX2"/>
      <c r="XEY2"/>
      <c r="XEZ2"/>
      <c r="XFA2"/>
      <c r="XFB2"/>
      <c r="XFC2"/>
    </row>
    <row r="3" s="1" customFormat="1" spans="1:16383">
      <c r="A3" s="11"/>
      <c r="B3" s="12"/>
      <c r="C3" s="12"/>
      <c r="D3" s="12"/>
      <c r="E3" s="13" t="s">
        <v>155</v>
      </c>
      <c r="F3" s="14" t="s">
        <v>156</v>
      </c>
      <c r="G3" s="14"/>
      <c r="H3" s="14"/>
      <c r="XEX3"/>
      <c r="XEY3"/>
      <c r="XEZ3"/>
      <c r="XFA3"/>
      <c r="XFB3"/>
      <c r="XFC3"/>
    </row>
    <row r="4" s="1" customFormat="1" ht="11" customHeight="1" spans="1:16383">
      <c r="A4" s="8"/>
      <c r="E4" s="15"/>
      <c r="F4" s="7"/>
      <c r="G4" s="7"/>
      <c r="H4" s="7"/>
      <c r="XEX4"/>
      <c r="XEY4"/>
      <c r="XEZ4"/>
      <c r="XFA4"/>
      <c r="XFB4"/>
      <c r="XFC4"/>
    </row>
    <row r="5" ht="26" customHeight="1" spans="1:9">
      <c r="A5" s="16" t="s">
        <v>157</v>
      </c>
      <c r="B5" s="16"/>
      <c r="C5" s="16"/>
      <c r="D5" s="16"/>
      <c r="E5" s="16"/>
      <c r="F5" s="16"/>
      <c r="G5" s="16"/>
      <c r="H5" s="16"/>
      <c r="I5" s="37" t="s">
        <v>158</v>
      </c>
    </row>
    <row r="6" s="1" customFormat="1" ht="35" customHeight="1" spans="1:8">
      <c r="A6" s="17" t="s">
        <v>2</v>
      </c>
      <c r="B6" s="18" t="s">
        <v>50</v>
      </c>
      <c r="C6" s="18"/>
      <c r="D6" s="18"/>
      <c r="E6" s="18"/>
      <c r="F6" s="18"/>
      <c r="G6" s="18"/>
      <c r="H6" s="18"/>
    </row>
    <row r="7" s="1" customFormat="1" ht="35" customHeight="1" spans="1:8">
      <c r="A7" s="17" t="s">
        <v>3</v>
      </c>
      <c r="B7" s="18" t="s">
        <v>51</v>
      </c>
      <c r="C7" s="18"/>
      <c r="D7" s="18"/>
      <c r="E7" s="18"/>
      <c r="F7" s="17" t="s">
        <v>10</v>
      </c>
      <c r="G7" s="17" t="s">
        <v>48</v>
      </c>
      <c r="H7" s="17"/>
    </row>
    <row r="8" s="1" customFormat="1" ht="35" customHeight="1" spans="1:18">
      <c r="A8" s="17" t="s">
        <v>5</v>
      </c>
      <c r="B8" s="18" t="s">
        <v>46</v>
      </c>
      <c r="C8" s="18"/>
      <c r="D8" s="18"/>
      <c r="E8" s="18"/>
      <c r="F8" s="17" t="s">
        <v>159</v>
      </c>
      <c r="G8" s="17" t="s">
        <v>46</v>
      </c>
      <c r="H8" s="17"/>
      <c r="K8" s="38"/>
      <c r="L8" s="38"/>
      <c r="M8" s="38"/>
      <c r="N8" s="38"/>
      <c r="O8" s="38"/>
      <c r="P8" s="38"/>
      <c r="Q8" s="38"/>
      <c r="R8" s="38"/>
    </row>
    <row r="9" s="1" customFormat="1" ht="35" customHeight="1" spans="1:18">
      <c r="A9" s="17" t="s">
        <v>4</v>
      </c>
      <c r="B9" s="18" t="s">
        <v>51</v>
      </c>
      <c r="C9" s="18"/>
      <c r="D9" s="18"/>
      <c r="E9" s="18"/>
      <c r="F9" s="17" t="s">
        <v>160</v>
      </c>
      <c r="G9" s="17" t="s">
        <v>161</v>
      </c>
      <c r="H9" s="17"/>
      <c r="K9" s="39"/>
      <c r="L9" s="40"/>
      <c r="M9" s="39"/>
      <c r="N9" s="39"/>
      <c r="O9" s="39"/>
      <c r="P9" s="39"/>
      <c r="Q9" s="39"/>
      <c r="R9" s="39"/>
    </row>
    <row r="10" s="1" customFormat="1" ht="35" customHeight="1" spans="1:8">
      <c r="A10" s="17" t="s">
        <v>59</v>
      </c>
      <c r="B10" s="18" t="s">
        <v>105</v>
      </c>
      <c r="C10" s="18"/>
      <c r="D10" s="18"/>
      <c r="E10" s="18"/>
      <c r="F10" s="17" t="s">
        <v>61</v>
      </c>
      <c r="G10" s="19">
        <v>44367</v>
      </c>
      <c r="H10" s="19"/>
    </row>
    <row r="11" s="1" customFormat="1" ht="35" customHeight="1" spans="1:8">
      <c r="A11" s="17" t="s">
        <v>162</v>
      </c>
      <c r="B11" s="18" t="s">
        <v>67</v>
      </c>
      <c r="C11" s="18"/>
      <c r="D11" s="18"/>
      <c r="E11" s="18"/>
      <c r="F11" s="17" t="s">
        <v>64</v>
      </c>
      <c r="G11" s="19">
        <v>44395</v>
      </c>
      <c r="H11" s="19"/>
    </row>
    <row r="12" s="1" customFormat="1" ht="35" customHeight="1" spans="1:8">
      <c r="A12" s="17" t="s">
        <v>163</v>
      </c>
      <c r="B12" s="18" t="s">
        <v>181</v>
      </c>
      <c r="C12" s="18"/>
      <c r="D12" s="18"/>
      <c r="E12" s="18"/>
      <c r="F12" s="17" t="s">
        <v>128</v>
      </c>
      <c r="G12" s="19">
        <v>44395</v>
      </c>
      <c r="H12" s="19"/>
    </row>
    <row r="13" s="1" customFormat="1" ht="35" customHeight="1" spans="1:8">
      <c r="A13" s="17" t="s">
        <v>60</v>
      </c>
      <c r="B13" s="18" t="s">
        <v>182</v>
      </c>
      <c r="C13" s="18"/>
      <c r="D13" s="18"/>
      <c r="E13" s="18"/>
      <c r="F13" s="17" t="s">
        <v>129</v>
      </c>
      <c r="G13" s="19">
        <v>44397</v>
      </c>
      <c r="H13" s="19"/>
    </row>
    <row r="14" s="1" customFormat="1" ht="35" customHeight="1" spans="1:8">
      <c r="A14" s="17" t="s">
        <v>166</v>
      </c>
      <c r="B14" s="18" t="s">
        <v>167</v>
      </c>
      <c r="C14" s="18"/>
      <c r="D14" s="18"/>
      <c r="E14" s="18"/>
      <c r="F14" s="18"/>
      <c r="G14" s="18"/>
      <c r="H14" s="18"/>
    </row>
    <row r="15" s="1" customFormat="1" ht="35" customHeight="1" spans="1:8">
      <c r="A15" s="17" t="s">
        <v>168</v>
      </c>
      <c r="B15" s="18" t="s">
        <v>169</v>
      </c>
      <c r="C15" s="18"/>
      <c r="D15" s="18"/>
      <c r="E15" s="18"/>
      <c r="F15" s="18"/>
      <c r="G15" s="18"/>
      <c r="H15" s="18"/>
    </row>
    <row r="16" s="1" customFormat="1" ht="35" customHeight="1" spans="1:8">
      <c r="A16" s="17" t="s">
        <v>170</v>
      </c>
      <c r="B16" s="17" t="s">
        <v>171</v>
      </c>
      <c r="C16" s="17"/>
      <c r="D16" s="17"/>
      <c r="E16" s="17" t="s">
        <v>172</v>
      </c>
      <c r="F16" s="18" t="s">
        <v>173</v>
      </c>
      <c r="G16" s="17" t="s">
        <v>174</v>
      </c>
      <c r="H16" s="17"/>
    </row>
    <row r="17" s="1" customFormat="1" ht="35" customHeight="1" spans="1:8">
      <c r="A17" s="17">
        <v>1</v>
      </c>
      <c r="B17" s="17" t="s">
        <v>68</v>
      </c>
      <c r="C17" s="17"/>
      <c r="D17" s="17"/>
      <c r="E17" s="20">
        <v>316.7</v>
      </c>
      <c r="F17" s="20">
        <v>30.0865</v>
      </c>
      <c r="G17" s="21">
        <v>30.0896666666667</v>
      </c>
      <c r="H17" s="22"/>
    </row>
    <row r="18" s="1" customFormat="1" ht="35" customHeight="1" spans="1:8">
      <c r="A18" s="17">
        <v>2</v>
      </c>
      <c r="B18" s="17" t="s">
        <v>68</v>
      </c>
      <c r="C18" s="17"/>
      <c r="D18" s="17"/>
      <c r="E18" s="20">
        <v>321.2</v>
      </c>
      <c r="F18" s="20">
        <v>30.514</v>
      </c>
      <c r="G18" s="23"/>
      <c r="H18" s="24"/>
    </row>
    <row r="19" s="1" customFormat="1" ht="35" customHeight="1" spans="1:8">
      <c r="A19" s="17">
        <v>3</v>
      </c>
      <c r="B19" s="17" t="s">
        <v>68</v>
      </c>
      <c r="C19" s="17"/>
      <c r="D19" s="17"/>
      <c r="E19" s="20">
        <v>312.3</v>
      </c>
      <c r="F19" s="20">
        <v>29.6685</v>
      </c>
      <c r="G19" s="25"/>
      <c r="H19" s="26"/>
    </row>
    <row r="20" s="1" customFormat="1" ht="35" customHeight="1" spans="1:8">
      <c r="A20" s="17" t="s">
        <v>11</v>
      </c>
      <c r="B20" s="18" t="s">
        <v>175</v>
      </c>
      <c r="C20" s="18"/>
      <c r="D20" s="18"/>
      <c r="E20" s="18"/>
      <c r="F20" s="18"/>
      <c r="G20" s="18"/>
      <c r="H20" s="18"/>
    </row>
    <row r="21" s="1" customFormat="1" ht="57" customHeight="1" spans="1:8">
      <c r="A21" s="27" t="s">
        <v>176</v>
      </c>
      <c r="B21" s="28" t="s">
        <v>177</v>
      </c>
      <c r="C21" s="29"/>
      <c r="D21" s="29"/>
      <c r="E21" s="29"/>
      <c r="F21" s="29"/>
      <c r="G21" s="29"/>
      <c r="H21" s="30"/>
    </row>
    <row r="22" s="1" customFormat="1" ht="48" customHeight="1" spans="1:8">
      <c r="A22" s="31"/>
      <c r="B22" s="32"/>
      <c r="C22" s="32"/>
      <c r="D22" s="32"/>
      <c r="E22" s="32"/>
      <c r="F22" s="32"/>
      <c r="G22" s="32"/>
      <c r="H22" s="32"/>
    </row>
    <row r="23" s="1" customFormat="1" ht="42" customHeight="1" spans="1:10">
      <c r="A23" s="33" t="s">
        <v>178</v>
      </c>
      <c r="B23" s="34"/>
      <c r="C23" s="34"/>
      <c r="D23" s="35" t="s">
        <v>179</v>
      </c>
      <c r="E23" s="35"/>
      <c r="F23" s="36"/>
      <c r="G23" s="36" t="s">
        <v>180</v>
      </c>
      <c r="H23" s="34"/>
      <c r="I23" s="34"/>
      <c r="J23" s="34"/>
    </row>
  </sheetData>
  <mergeCells count="32">
    <mergeCell ref="E1:H1"/>
    <mergeCell ref="F2:H2"/>
    <mergeCell ref="F3:H3"/>
    <mergeCell ref="A5:H5"/>
    <mergeCell ref="B6:H6"/>
    <mergeCell ref="B7:E7"/>
    <mergeCell ref="G7:H7"/>
    <mergeCell ref="B8:E8"/>
    <mergeCell ref="G8:H8"/>
    <mergeCell ref="B9:E9"/>
    <mergeCell ref="G9:H9"/>
    <mergeCell ref="B10:E10"/>
    <mergeCell ref="G10:H10"/>
    <mergeCell ref="B11:E11"/>
    <mergeCell ref="G11:H11"/>
    <mergeCell ref="B12:E12"/>
    <mergeCell ref="G12:H12"/>
    <mergeCell ref="B13:E13"/>
    <mergeCell ref="G13:H13"/>
    <mergeCell ref="B14:H14"/>
    <mergeCell ref="B15:H15"/>
    <mergeCell ref="B16:D16"/>
    <mergeCell ref="G16:H16"/>
    <mergeCell ref="B17:D17"/>
    <mergeCell ref="B18:D18"/>
    <mergeCell ref="B19:D19"/>
    <mergeCell ref="B20:H20"/>
    <mergeCell ref="B21:H21"/>
    <mergeCell ref="I23:J23"/>
    <mergeCell ref="A1:A2"/>
    <mergeCell ref="B1:C2"/>
    <mergeCell ref="G17:H19"/>
  </mergeCells>
  <hyperlinks>
    <hyperlink ref="I5" location="委托单!A1" display="返回委托单"/>
  </hyperlinks>
  <printOptions horizontalCentered="1"/>
  <pageMargins left="0.751388888888889" right="0.751388888888889" top="0.354166666666667" bottom="0.472222222222222" header="0.196527777777778" footer="0.275"/>
  <pageSetup paperSize="9" orientation="portrait" horizontalDpi="600"/>
  <headerFooter/>
  <drawing r:id="rId1"/>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8</vt:i4>
      </vt:variant>
    </vt:vector>
  </HeadingPairs>
  <TitlesOfParts>
    <vt:vector size="8" baseType="lpstr">
      <vt:lpstr>委托单位信息</vt:lpstr>
      <vt:lpstr>混凝土抗压检测</vt:lpstr>
      <vt:lpstr>委托单</vt:lpstr>
      <vt:lpstr>混凝土抗压强度检测报告</vt:lpstr>
      <vt:lpstr>150201-2021000581</vt:lpstr>
      <vt:lpstr>150201-2021000537</vt:lpstr>
      <vt:lpstr>150201-2021000524</vt:lpstr>
      <vt:lpstr>150201-2021000413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浪</cp:lastModifiedBy>
  <dcterms:created xsi:type="dcterms:W3CDTF">2021-06-22T09:08:00Z</dcterms:created>
  <dcterms:modified xsi:type="dcterms:W3CDTF">2021-12-17T07:18:15Z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0F1AEBB983C6490A81DF05025792BC74</vt:lpwstr>
  </property>
  <property fmtid="{D5CDD505-2E9C-101B-9397-08002B2CF9AE}" pid="3" name="KSOProductBuildVer">
    <vt:lpwstr>2052-11.1.0.11115</vt:lpwstr>
  </property>
</Properties>
</file>