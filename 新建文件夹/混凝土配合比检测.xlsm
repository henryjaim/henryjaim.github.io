
<file path=[Content_Types].xml><?xml version="1.0" encoding="utf-8"?>
<Types xmlns="http://schemas.openxmlformats.org/package/2006/content-types">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540" firstSheet="2" activeTab="5"/>
  </bookViews>
  <sheets>
    <sheet name="委托单位信息" sheetId="7" r:id="rId1"/>
    <sheet name="混凝土配合比检测" sheetId="12" r:id="rId2"/>
    <sheet name="混凝土配合比 (C15) " sheetId="4" r:id="rId3"/>
    <sheet name="混凝土配合比 (C20) " sheetId="8" r:id="rId4"/>
    <sheet name="混凝土配合比 (C25) " sheetId="9" r:id="rId5"/>
    <sheet name="混凝土配合比 (C30)" sheetId="3" r:id="rId6"/>
    <sheet name="混凝土配合比 (C35)" sheetId="10" r:id="rId7"/>
    <sheet name="混凝土配合比 (C40)" sheetId="11" r:id="rId8"/>
  </sheets>
  <externalReferences>
    <externalReference r:id="rId9"/>
    <externalReference r:id="rId10"/>
    <externalReference r:id="rId11"/>
    <externalReference r:id="rId12"/>
  </externalReferences>
  <definedNames>
    <definedName name="检测类型">[2]辅助计算表!$C$2:$U$2</definedName>
    <definedName name="混凝土抗压强度检测">[2]辅助计算表!$C$3:$C$180</definedName>
    <definedName name="砂浆抗压强度检测">[2]辅助计算表!$D$3:$D$180</definedName>
    <definedName name="混凝土配合比检测">[2]辅助计算表!$E$3:$E$180</definedName>
    <definedName name="砂浆配合比检测">[2]辅助计算表!$F$3:$F$180</definedName>
    <definedName name="砂料检测">[2]辅助计算表!$G$3:$G$180</definedName>
    <definedName name="碎石检测">[2]辅助计算表!$H$3:$H$180</definedName>
    <definedName name="水泥检测">[2]辅助计算表!$I$3:$I$180</definedName>
    <definedName name="钢筋检测">[2]辅助计算表!$J$3:$J$180</definedName>
    <definedName name="钢筋接头检测">[2]辅助计算表!$K$3:$K$180</definedName>
    <definedName name="砌体材料检测">[2]辅助计算表!$L$3:$L$181</definedName>
    <definedName name="实体检测">[2]辅助计算表!$M$3:$M$180</definedName>
    <definedName name="地基基础检测">[2]辅助计算表!$N$3:$N$180</definedName>
    <definedName name="路基检测">[2]辅助计算表!$O$3:$O$180</definedName>
    <definedName name="建筑节能检测">[2]辅助计算表!$P$3:$P$180</definedName>
    <definedName name="管线检测">[2]辅助计算表!$Q$3:$Q$180</definedName>
    <definedName name="防水卷材">[2]辅助计算表!$R$3:$R$180</definedName>
    <definedName name="混凝土抗渗检测">[2]辅助计算表!$S$3:$S$180</definedName>
    <definedName name="项目类别">[1]子目!$I$3:$J$3</definedName>
    <definedName name="固定资产">[1]子目!$I$4:$I$19</definedName>
    <definedName name="运营支出">[1]子目!$J$4:$J$190</definedName>
    <definedName name="网费">[1]子目!$K$4:$K$19</definedName>
    <definedName name="差旅费">[1]子目!$L$4:$L$19</definedName>
    <definedName name="接待费">[1]子目!$M$4:$M$19</definedName>
    <definedName name="人工费">[1]子目!$N$4:$N$19</definedName>
    <definedName name="材料费">[1]子目!$O$4:$O$19</definedName>
    <definedName name="维护费">[1]子目!$P$4:$P$19</definedName>
    <definedName name="_xlnm.Print_Area" localSheetId="5">'混凝土配合比 (C30)'!$A$1:$N$39</definedName>
    <definedName name="_xlnm.Print_Area" localSheetId="2">'混凝土配合比 (C15) '!$A$1:$N$38</definedName>
    <definedName name="材料费" localSheetId="0">[3]子目!$O$4:$O$19</definedName>
    <definedName name="差旅费" localSheetId="0">[3]子目!$L$4:$L$19</definedName>
    <definedName name="地基基础检测" localSheetId="0">[4]辅助计算表!$N$3:$N$180</definedName>
    <definedName name="防水卷材" localSheetId="0">[4]辅助计算表!$R$3:$R$180</definedName>
    <definedName name="钢筋检测" localSheetId="0">[4]辅助计算表!$J$3:$J$180</definedName>
    <definedName name="钢筋接头检测" localSheetId="0">[4]辅助计算表!$K$3:$K$180</definedName>
    <definedName name="固定资产" localSheetId="0">[3]子目!$I$4:$I$19</definedName>
    <definedName name="管线检测" localSheetId="0">[4]辅助计算表!$Q$3:$Q$180</definedName>
    <definedName name="混凝土抗渗检测" localSheetId="0">[4]辅助计算表!$S$3:$S$180</definedName>
    <definedName name="混凝土抗压强度检测" localSheetId="0">[4]辅助计算表!$C$3:$C$180</definedName>
    <definedName name="混凝土配合比检测" localSheetId="0">[4]辅助计算表!$E$3:$E$180</definedName>
    <definedName name="检测类型" localSheetId="0">[4]辅助计算表!$C$2:$U$2</definedName>
    <definedName name="建筑节能检测" localSheetId="0">[4]辅助计算表!$P$3:$P$180</definedName>
    <definedName name="接待费" localSheetId="0">[3]子目!$M$4:$M$19</definedName>
    <definedName name="路基检测" localSheetId="0">[4]辅助计算表!$O$3:$O$180</definedName>
    <definedName name="砌体材料检测" localSheetId="0">[4]辅助计算表!$L$3:$L$181</definedName>
    <definedName name="人工费" localSheetId="0">[3]子目!$N$4:$N$19</definedName>
    <definedName name="砂浆抗压强度检测" localSheetId="0">[4]辅助计算表!$D$3:$D$180</definedName>
    <definedName name="砂浆配合比检测" localSheetId="0">[4]辅助计算表!$F$3:$F$180</definedName>
    <definedName name="砂料检测" localSheetId="0">[4]辅助计算表!$G$3:$G$180</definedName>
    <definedName name="实体检测" localSheetId="0">[4]辅助计算表!$M$3:$M$180</definedName>
    <definedName name="水泥检测" localSheetId="0">[4]辅助计算表!$I$3:$I$180</definedName>
    <definedName name="碎石检测" localSheetId="0">[4]辅助计算表!$H$3:$H$180</definedName>
    <definedName name="网费" localSheetId="0">[3]子目!$K$4:$K$19</definedName>
    <definedName name="维护费" localSheetId="0">[3]子目!$P$4:$P$19</definedName>
    <definedName name="项目类别" localSheetId="0">[3]子目!$I$3:$J$3</definedName>
    <definedName name="运营支出" localSheetId="0">[3]子目!$J$4:$J$190</definedName>
    <definedName name="_xlnm.Print_Area" localSheetId="3">'混凝土配合比 (C20) '!$A$1:$N$38</definedName>
    <definedName name="_xlnm.Print_Area" localSheetId="4">'混凝土配合比 (C25) '!$A$1:$N$38</definedName>
    <definedName name="_xlnm.Print_Area" localSheetId="6">'混凝土配合比 (C35)'!$A$1:$N$38</definedName>
    <definedName name="_xlnm.Print_Area" localSheetId="7">'混凝土配合比 (C40)'!$A$1:$N$38</definedName>
    <definedName name="材料费" localSheetId="1">[3]子目!$O$4:$O$19</definedName>
    <definedName name="差旅费" localSheetId="1">[3]子目!$L$4:$L$19</definedName>
    <definedName name="地基基础检测" localSheetId="1">[4]辅助计算表!$N$3:$N$180</definedName>
    <definedName name="防水卷材" localSheetId="1">[4]辅助计算表!$R$3:$R$180</definedName>
    <definedName name="钢筋检测" localSheetId="1">[4]辅助计算表!$J$3:$J$180</definedName>
    <definedName name="钢筋接头检测" localSheetId="1">[4]辅助计算表!$K$3:$K$180</definedName>
    <definedName name="固定资产" localSheetId="1">[3]子目!$I$4:$I$19</definedName>
    <definedName name="管线检测" localSheetId="1">[4]辅助计算表!$Q$3:$Q$180</definedName>
    <definedName name="混凝土抗渗检测" localSheetId="1">[4]辅助计算表!$S$3:$S$180</definedName>
    <definedName name="混凝土抗压强度检测" localSheetId="1">[4]辅助计算表!$C$3:$C$180</definedName>
    <definedName name="混凝土配合比检测" localSheetId="1">[4]辅助计算表!$E$3:$E$180</definedName>
    <definedName name="检测类型" localSheetId="1">[4]辅助计算表!$C$2:$U$2</definedName>
    <definedName name="建筑节能检测" localSheetId="1">[4]辅助计算表!$P$3:$P$180</definedName>
    <definedName name="接待费" localSheetId="1">[3]子目!$M$4:$M$19</definedName>
    <definedName name="路基检测" localSheetId="1">[4]辅助计算表!$O$3:$O$180</definedName>
    <definedName name="砌体材料检测" localSheetId="1">[4]辅助计算表!$L$3:$L$181</definedName>
    <definedName name="人工费" localSheetId="1">[3]子目!$N$4:$N$19</definedName>
    <definedName name="砂浆抗压强度检测" localSheetId="1">[4]辅助计算表!$D$3:$D$180</definedName>
    <definedName name="砂浆配合比检测" localSheetId="1">[4]辅助计算表!$F$3:$F$180</definedName>
    <definedName name="砂料检测" localSheetId="1">[4]辅助计算表!$G$3:$G$180</definedName>
    <definedName name="实体检测" localSheetId="1">[4]辅助计算表!$M$3:$M$180</definedName>
    <definedName name="水泥检测" localSheetId="1">[4]辅助计算表!$I$3:$I$180</definedName>
    <definedName name="碎石检测" localSheetId="1">[4]辅助计算表!$H$3:$H$180</definedName>
    <definedName name="网费" localSheetId="1">[3]子目!$K$4:$K$19</definedName>
    <definedName name="维护费" localSheetId="1">[3]子目!$P$4:$P$19</definedName>
    <definedName name="项目类别" localSheetId="1">[3]子目!$I$3:$J$3</definedName>
    <definedName name="运营支出" localSheetId="1">[3]子目!$J$4:$J$190</definedName>
  </definedNames>
  <calcPr calcId="144525"/>
</workbook>
</file>

<file path=xl/sharedStrings.xml><?xml version="1.0" encoding="utf-8"?>
<sst xmlns="http://schemas.openxmlformats.org/spreadsheetml/2006/main" count="846" uniqueCount="147">
  <si>
    <t>委托单位信息</t>
  </si>
  <si>
    <t>编号</t>
  </si>
  <si>
    <t>工程名称</t>
  </si>
  <si>
    <t>委托单位</t>
  </si>
  <si>
    <t>施工单位</t>
  </si>
  <si>
    <t>见证单位</t>
  </si>
  <si>
    <t>见证人</t>
  </si>
  <si>
    <t>见证人电话</t>
  </si>
  <si>
    <t>送检人</t>
  </si>
  <si>
    <t>送检人电话</t>
  </si>
  <si>
    <t>委托类型</t>
  </si>
  <si>
    <t>备注</t>
  </si>
  <si>
    <t>XW001</t>
  </si>
  <si>
    <t>青神县瑞峰镇中岩村1组德云寺滑坡地质灾害工程治理项目</t>
  </si>
  <si>
    <t>新疆地质工程有限公司</t>
  </si>
  <si>
    <t>武汉宏基建设工程监理有限公司</t>
  </si>
  <si>
    <t>吴坤林</t>
  </si>
  <si>
    <t>安广荣</t>
  </si>
  <si>
    <t>XW002</t>
  </si>
  <si>
    <t>芦山县太平镇大河村赵家坪后山崩塌治理工程清淤加固项目</t>
  </si>
  <si>
    <t>中新凯瑞工程咨询有限公司</t>
  </si>
  <si>
    <t>马建明</t>
  </si>
  <si>
    <t>耿盛林</t>
  </si>
  <si>
    <t>XW003</t>
  </si>
  <si>
    <t>芦山县大川镇三江村集中安置点老李沟泥石流治理工程清淤加固项目</t>
  </si>
  <si>
    <t>XW004</t>
  </si>
  <si>
    <t>芦山县大川镇小河村水坝子组泥石流治理工程清淤加固项目</t>
  </si>
  <si>
    <t>XW005</t>
  </si>
  <si>
    <t>芦山县太平镇春光村董家沟泥石流治理工程清淤加固项目</t>
  </si>
  <si>
    <t>XW006</t>
  </si>
  <si>
    <r>
      <rPr>
        <sz val="11"/>
        <color theme="1"/>
        <rFont val="宋体"/>
        <charset val="134"/>
        <scheme val="minor"/>
      </rPr>
      <t>芦山县大川镇小河村水坝子组泥石流等7处治理工程清淤加固项目(</t>
    </r>
    <r>
      <rPr>
        <sz val="9"/>
        <color theme="1"/>
        <rFont val="宋体"/>
        <charset val="134"/>
        <scheme val="minor"/>
      </rPr>
      <t>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t>
    </r>
    <r>
      <rPr>
        <sz val="11"/>
        <color theme="1"/>
        <rFont val="宋体"/>
        <charset val="134"/>
        <scheme val="minor"/>
      </rPr>
      <t>）</t>
    </r>
  </si>
  <si>
    <t>XW007</t>
  </si>
  <si>
    <t>宁209井区中心站综合值班用房及配套工程</t>
  </si>
  <si>
    <t>四川蜀渝石油建筑安装工程有限责任公司</t>
  </si>
  <si>
    <t>四川华成油气工程建设监理有限公司</t>
  </si>
  <si>
    <t>胡晓强</t>
  </si>
  <si>
    <t>邓茂桥</t>
  </si>
  <si>
    <t>XW008</t>
  </si>
  <si>
    <t>兴文县城市生活污水处理厂配套管网（古宋河东侧）项目及2021年度排水防涝建设项目一期</t>
  </si>
  <si>
    <t>四川同达建设有限公司</t>
  </si>
  <si>
    <t>兴文县城市建设投资有限责任公司</t>
  </si>
  <si>
    <t>徐洋</t>
  </si>
  <si>
    <t>黎乃兵</t>
  </si>
  <si>
    <t>兴文县麒麟苗族乡海纳村党群服务中心建设项目</t>
  </si>
  <si>
    <t>兴文县鼎立建筑工程有限公司</t>
  </si>
  <si>
    <t>——</t>
  </si>
  <si>
    <t>曾志平</t>
  </si>
  <si>
    <t>无见证取样送检</t>
  </si>
  <si>
    <t>混凝土配合比检测样品信息</t>
  </si>
  <si>
    <t>项目名称</t>
  </si>
  <si>
    <t>品种</t>
  </si>
  <si>
    <t>水泥等级</t>
  </si>
  <si>
    <t>强度等级</t>
  </si>
  <si>
    <t>水泥</t>
  </si>
  <si>
    <t>细骨料</t>
  </si>
  <si>
    <t>粗骨料</t>
  </si>
  <si>
    <t>送检日期</t>
  </si>
  <si>
    <t>检测编号</t>
  </si>
  <si>
    <t>生产厂家</t>
  </si>
  <si>
    <t>品种及强度等级</t>
  </si>
  <si>
    <t>出厂日期</t>
  </si>
  <si>
    <t>批号</t>
  </si>
  <si>
    <t>出厂日期及批号</t>
  </si>
  <si>
    <t>产地</t>
  </si>
  <si>
    <t>种类</t>
  </si>
  <si>
    <t>普通砼</t>
  </si>
  <si>
    <t>C20</t>
  </si>
  <si>
    <t>兴文瑞兴水泥厂</t>
  </si>
  <si>
    <t>P·C42.5R</t>
  </si>
  <si>
    <t>3Z-0235</t>
  </si>
  <si>
    <t>010601-2021000214</t>
  </si>
  <si>
    <t>天成石粉厂</t>
  </si>
  <si>
    <t>机制中砂</t>
  </si>
  <si>
    <t>150502-2021000015</t>
  </si>
  <si>
    <t>碎石5-25mm</t>
  </si>
  <si>
    <t>150504-2021000015</t>
  </si>
  <si>
    <t>010210-2021000136</t>
  </si>
  <si>
    <t>XW009</t>
  </si>
  <si>
    <t>C30</t>
  </si>
  <si>
    <t>宜宾瑞兴实业有限公司</t>
  </si>
  <si>
    <t>P·O42.5</t>
  </si>
  <si>
    <t>X421011</t>
  </si>
  <si>
    <t>2020/6/12    X421011</t>
  </si>
  <si>
    <t>010601-2020000021</t>
  </si>
  <si>
    <t>麒麟三合石场</t>
  </si>
  <si>
    <t>150502-2020000015</t>
  </si>
  <si>
    <t>150504-2020000015</t>
  </si>
  <si>
    <t>010210-2020000016</t>
  </si>
  <si>
    <t>四川恒固建设工程检测有限公司</t>
  </si>
  <si>
    <t>混凝土配合比设计检测报告</t>
  </si>
  <si>
    <t>委托单位：</t>
  </si>
  <si>
    <t>检测编号：</t>
  </si>
  <si>
    <t>工程名称：</t>
  </si>
  <si>
    <t>芦山县大川镇小河村水坝子组泥石流等7处治理工程清淤加固项目(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t>
  </si>
  <si>
    <t>工程部位：</t>
  </si>
  <si>
    <t>检测类别：</t>
  </si>
  <si>
    <t>监督登记号：</t>
  </si>
  <si>
    <t>检测依据：</t>
  </si>
  <si>
    <t>JGJ 55-2011</t>
  </si>
  <si>
    <t>见证单位：</t>
  </si>
  <si>
    <t>见证人：</t>
  </si>
  <si>
    <t>送检日期：</t>
  </si>
  <si>
    <t>检测日期：</t>
  </si>
  <si>
    <t>报告日期：</t>
  </si>
  <si>
    <t>品种及等级</t>
  </si>
  <si>
    <t>普通砼C15</t>
  </si>
  <si>
    <t>成型日期</t>
  </si>
  <si>
    <t>塌落度：</t>
  </si>
  <si>
    <t>30～50mm</t>
  </si>
  <si>
    <t>配合比设计原材料</t>
  </si>
  <si>
    <t>品      种：</t>
  </si>
  <si>
    <t>批号：</t>
  </si>
  <si>
    <t>出厂日期：</t>
  </si>
  <si>
    <t>产      家：</t>
  </si>
  <si>
    <t>细骨料1</t>
  </si>
  <si>
    <t>细度模数：</t>
  </si>
  <si>
    <t>产（地） 家：</t>
  </si>
  <si>
    <t>细骨料2</t>
  </si>
  <si>
    <t>粗骨料1</t>
  </si>
  <si>
    <t>碎石</t>
  </si>
  <si>
    <t>粒级（mm)：</t>
  </si>
  <si>
    <t>5-25</t>
  </si>
  <si>
    <t>粗骨料2</t>
  </si>
  <si>
    <t>掺合料</t>
  </si>
  <si>
    <t>产品名称：</t>
  </si>
  <si>
    <t>推荐掺量：</t>
  </si>
  <si>
    <t>外加剂1</t>
  </si>
  <si>
    <t>外加剂2</t>
  </si>
  <si>
    <t>配合比</t>
  </si>
  <si>
    <t>材料名称</t>
  </si>
  <si>
    <t>外加剂
1</t>
  </si>
  <si>
    <t>外加剂
2</t>
  </si>
  <si>
    <t>水</t>
  </si>
  <si>
    <r>
      <rPr>
        <sz val="10"/>
        <color theme="1"/>
        <rFont val="宋体"/>
        <charset val="134"/>
        <scheme val="minor"/>
      </rPr>
      <t>每m</t>
    </r>
    <r>
      <rPr>
        <vertAlign val="superscript"/>
        <sz val="10"/>
        <color theme="1"/>
        <rFont val="宋体"/>
        <charset val="134"/>
        <scheme val="minor"/>
      </rPr>
      <t>3</t>
    </r>
    <r>
      <rPr>
        <sz val="10"/>
        <color theme="1"/>
        <rFont val="宋体"/>
        <charset val="134"/>
        <scheme val="minor"/>
      </rPr>
      <t>用量（kg)</t>
    </r>
  </si>
  <si>
    <t>—</t>
  </si>
  <si>
    <t>质量比</t>
  </si>
  <si>
    <t>本配合比所用砂石均为干燥基准，施工时应根据现场砂石实测含水率换算成施工配合比指导施工。严格计量，保持原材料洁净。</t>
  </si>
  <si>
    <t>1、若对报告有异议，应于收到报告之日起15日内，以书面形式向检测单位提出，逾期视为对报告无异议。
2、送样检测，仅对来样检测负责。
3、未加盖本公司检测专用检测章，报告无效。</t>
  </si>
  <si>
    <t>签发：</t>
  </si>
  <si>
    <t>审核：</t>
  </si>
  <si>
    <t>检测：</t>
  </si>
  <si>
    <t>地址：泸州市江阳区酒谷大道六段1号</t>
  </si>
  <si>
    <t>联系电话：0830-6667833</t>
  </si>
  <si>
    <t>普通砼C20</t>
  </si>
  <si>
    <t>普通砼C30</t>
  </si>
  <si>
    <t>成型日期：</t>
  </si>
  <si>
    <t>1、若对报告有异议，应于收到报告之日起15日内，以书面形式向检测单位提出，逾期视为对报告无异议。
2、送样检测，仅对来样检测负责。
3、未加盖本公司检测专用检测章，报告无效。                                      共 1 页，第 1 页</t>
  </si>
</sst>
</file>

<file path=xl/styles.xml><?xml version="1.0" encoding="utf-8"?>
<styleSheet xmlns="http://schemas.openxmlformats.org/spreadsheetml/2006/main">
  <numFmts count="8">
    <numFmt numFmtId="176" formatCode="0.00_ "/>
    <numFmt numFmtId="41" formatCode="_ * #,##0_ ;_ * \-#,##0_ ;_ * &quot;-&quot;_ ;_ @_ "/>
    <numFmt numFmtId="43" formatCode="_ * #,##0.00_ ;_ * \-#,##0.00_ ;_ * &quot;-&quot;??_ ;_ @_ "/>
    <numFmt numFmtId="42" formatCode="_ &quot;￥&quot;* #,##0_ ;_ &quot;￥&quot;* \-#,##0_ ;_ &quot;￥&quot;* &quot;-&quot;_ ;_ @_ "/>
    <numFmt numFmtId="44" formatCode="_ &quot;￥&quot;* #,##0.00_ ;_ &quot;￥&quot;* \-#,##0.00_ ;_ &quot;￥&quot;* &quot;-&quot;??_ ;_ @_ "/>
    <numFmt numFmtId="177" formatCode="yyyy/mm/dd"/>
    <numFmt numFmtId="178" formatCode="yyyy\-mm\-dd"/>
    <numFmt numFmtId="179" formatCode="yyyy/m/d;@"/>
  </numFmts>
  <fonts count="31">
    <font>
      <sz val="11"/>
      <color theme="1"/>
      <name val="宋体"/>
      <charset val="134"/>
      <scheme val="minor"/>
    </font>
    <font>
      <sz val="9"/>
      <color theme="1"/>
      <name val="宋体"/>
      <charset val="134"/>
      <scheme val="minor"/>
    </font>
    <font>
      <sz val="16"/>
      <color theme="1"/>
      <name val="宋体"/>
      <charset val="134"/>
    </font>
    <font>
      <b/>
      <sz val="20"/>
      <color theme="1"/>
      <name val="宋体"/>
      <charset val="134"/>
    </font>
    <font>
      <sz val="10"/>
      <color theme="1"/>
      <name val="宋体"/>
      <charset val="134"/>
      <scheme val="minor"/>
    </font>
    <font>
      <sz val="8"/>
      <color theme="1"/>
      <name val="宋体"/>
      <charset val="134"/>
      <scheme val="minor"/>
    </font>
    <font>
      <b/>
      <sz val="11"/>
      <color theme="1"/>
      <name val="宋体"/>
      <charset val="134"/>
      <scheme val="minor"/>
    </font>
    <font>
      <b/>
      <sz val="14"/>
      <color theme="1"/>
      <name val="宋体"/>
      <charset val="134"/>
      <scheme val="minor"/>
    </font>
    <font>
      <b/>
      <sz val="10.5"/>
      <color theme="1"/>
      <name val="宋体"/>
      <charset val="134"/>
    </font>
    <font>
      <sz val="12"/>
      <color theme="1"/>
      <name val="宋体"/>
      <charset val="134"/>
    </font>
    <font>
      <sz val="10.5"/>
      <color theme="1"/>
      <name val="宋体"/>
      <charset val="134"/>
    </font>
    <font>
      <u/>
      <sz val="11"/>
      <color rgb="FF800080"/>
      <name val="宋体"/>
      <charset val="0"/>
      <scheme val="minor"/>
    </font>
    <font>
      <b/>
      <sz val="11"/>
      <color theme="3"/>
      <name val="宋体"/>
      <charset val="134"/>
      <scheme val="minor"/>
    </font>
    <font>
      <sz val="11"/>
      <color theme="1"/>
      <name val="宋体"/>
      <charset val="0"/>
      <scheme val="minor"/>
    </font>
    <font>
      <sz val="11"/>
      <color rgb="FF9C6500"/>
      <name val="宋体"/>
      <charset val="0"/>
      <scheme val="minor"/>
    </font>
    <font>
      <sz val="11"/>
      <color theme="0"/>
      <name val="宋体"/>
      <charset val="0"/>
      <scheme val="minor"/>
    </font>
    <font>
      <sz val="11"/>
      <color rgb="FF9C0006"/>
      <name val="宋体"/>
      <charset val="0"/>
      <scheme val="minor"/>
    </font>
    <font>
      <b/>
      <sz val="11"/>
      <color rgb="FF3F3F3F"/>
      <name val="宋体"/>
      <charset val="0"/>
      <scheme val="minor"/>
    </font>
    <font>
      <sz val="11"/>
      <color rgb="FFFF0000"/>
      <name val="宋体"/>
      <charset val="0"/>
      <scheme val="minor"/>
    </font>
    <font>
      <b/>
      <sz val="11"/>
      <color rgb="FFFFFFFF"/>
      <name val="宋体"/>
      <charset val="0"/>
      <scheme val="minor"/>
    </font>
    <font>
      <b/>
      <sz val="15"/>
      <color theme="3"/>
      <name val="宋体"/>
      <charset val="134"/>
      <scheme val="minor"/>
    </font>
    <font>
      <b/>
      <sz val="11"/>
      <color rgb="FFFA7D00"/>
      <name val="宋体"/>
      <charset val="0"/>
      <scheme val="minor"/>
    </font>
    <font>
      <b/>
      <sz val="13"/>
      <color theme="3"/>
      <name val="宋体"/>
      <charset val="134"/>
      <scheme val="minor"/>
    </font>
    <font>
      <sz val="11"/>
      <color rgb="FF3F3F76"/>
      <name val="宋体"/>
      <charset val="0"/>
      <scheme val="minor"/>
    </font>
    <font>
      <sz val="11"/>
      <color rgb="FF006100"/>
      <name val="宋体"/>
      <charset val="0"/>
      <scheme val="minor"/>
    </font>
    <font>
      <u/>
      <sz val="11"/>
      <color rgb="FF0000FF"/>
      <name val="宋体"/>
      <charset val="0"/>
      <scheme val="minor"/>
    </font>
    <font>
      <b/>
      <sz val="18"/>
      <color theme="3"/>
      <name val="宋体"/>
      <charset val="134"/>
      <scheme val="minor"/>
    </font>
    <font>
      <i/>
      <sz val="11"/>
      <color rgb="FF7F7F7F"/>
      <name val="宋体"/>
      <charset val="0"/>
      <scheme val="minor"/>
    </font>
    <font>
      <sz val="11"/>
      <color rgb="FFFA7D00"/>
      <name val="宋体"/>
      <charset val="0"/>
      <scheme val="minor"/>
    </font>
    <font>
      <b/>
      <sz val="11"/>
      <color theme="1"/>
      <name val="宋体"/>
      <charset val="0"/>
      <scheme val="minor"/>
    </font>
    <font>
      <vertAlign val="superscript"/>
      <sz val="10"/>
      <color theme="1"/>
      <name val="宋体"/>
      <charset val="134"/>
      <scheme val="minor"/>
    </font>
  </fonts>
  <fills count="33">
    <fill>
      <patternFill patternType="none"/>
    </fill>
    <fill>
      <patternFill patternType="gray125"/>
    </fill>
    <fill>
      <patternFill patternType="solid">
        <fgColor theme="7" tint="0.799981688894314"/>
        <bgColor indexed="64"/>
      </patternFill>
    </fill>
    <fill>
      <patternFill patternType="solid">
        <fgColor rgb="FFFFEB9C"/>
        <bgColor indexed="64"/>
      </patternFill>
    </fill>
    <fill>
      <patternFill patternType="solid">
        <fgColor theme="5" tint="0.399975585192419"/>
        <bgColor indexed="64"/>
      </patternFill>
    </fill>
    <fill>
      <patternFill patternType="solid">
        <fgColor rgb="FFFFC7CE"/>
        <bgColor indexed="64"/>
      </patternFill>
    </fill>
    <fill>
      <patternFill patternType="solid">
        <fgColor theme="7"/>
        <bgColor indexed="64"/>
      </patternFill>
    </fill>
    <fill>
      <patternFill patternType="solid">
        <fgColor theme="4"/>
        <bgColor indexed="64"/>
      </patternFill>
    </fill>
    <fill>
      <patternFill patternType="solid">
        <fgColor rgb="FFF2F2F2"/>
        <bgColor indexed="64"/>
      </patternFill>
    </fill>
    <fill>
      <patternFill patternType="solid">
        <fgColor theme="5" tint="0.599993896298105"/>
        <bgColor indexed="64"/>
      </patternFill>
    </fill>
    <fill>
      <patternFill patternType="solid">
        <fgColor theme="4" tint="0.799981688894314"/>
        <bgColor indexed="64"/>
      </patternFill>
    </fill>
    <fill>
      <patternFill patternType="solid">
        <fgColor rgb="FFA5A5A5"/>
        <bgColor indexed="64"/>
      </patternFill>
    </fill>
    <fill>
      <patternFill patternType="solid">
        <fgColor theme="8"/>
        <bgColor indexed="64"/>
      </patternFill>
    </fill>
    <fill>
      <patternFill patternType="solid">
        <fgColor theme="4" tint="0.599993896298105"/>
        <bgColor indexed="64"/>
      </patternFill>
    </fill>
    <fill>
      <patternFill patternType="solid">
        <fgColor theme="8" tint="0.799981688894314"/>
        <bgColor indexed="64"/>
      </patternFill>
    </fill>
    <fill>
      <patternFill patternType="solid">
        <fgColor theme="6" tint="0.799981688894314"/>
        <bgColor indexed="64"/>
      </patternFill>
    </fill>
    <fill>
      <patternFill patternType="solid">
        <fgColor rgb="FFFFCC99"/>
        <bgColor indexed="64"/>
      </patternFill>
    </fill>
    <fill>
      <patternFill patternType="solid">
        <fgColor rgb="FFC6EFCE"/>
        <bgColor indexed="64"/>
      </patternFill>
    </fill>
    <fill>
      <patternFill patternType="solid">
        <fgColor theme="5"/>
        <bgColor indexed="64"/>
      </patternFill>
    </fill>
    <fill>
      <patternFill patternType="solid">
        <fgColor theme="7" tint="0.399975585192419"/>
        <bgColor indexed="64"/>
      </patternFill>
    </fill>
    <fill>
      <patternFill patternType="solid">
        <fgColor theme="6" tint="0.599993896298105"/>
        <bgColor indexed="64"/>
      </patternFill>
    </fill>
    <fill>
      <patternFill patternType="solid">
        <fgColor theme="6"/>
        <bgColor indexed="64"/>
      </patternFill>
    </fill>
    <fill>
      <patternFill patternType="solid">
        <fgColor theme="6" tint="0.399975585192419"/>
        <bgColor indexed="64"/>
      </patternFill>
    </fill>
    <fill>
      <patternFill patternType="solid">
        <fgColor rgb="FFFFFFCC"/>
        <bgColor indexed="64"/>
      </patternFill>
    </fill>
    <fill>
      <patternFill patternType="solid">
        <fgColor theme="4"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8" tint="0.599993896298105"/>
        <bgColor indexed="64"/>
      </patternFill>
    </fill>
    <fill>
      <patternFill patternType="solid">
        <fgColor theme="7" tint="0.599993896298105"/>
        <bgColor indexed="64"/>
      </patternFill>
    </fill>
    <fill>
      <patternFill patternType="solid">
        <fgColor theme="5" tint="0.799981688894314"/>
        <bgColor indexed="64"/>
      </patternFill>
    </fill>
    <fill>
      <patternFill patternType="solid">
        <fgColor theme="8" tint="0.39997558519241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style="thin">
        <color auto="1"/>
      </right>
      <top/>
      <bottom style="thin">
        <color auto="1"/>
      </bottom>
      <diagonal/>
    </border>
    <border>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bottom style="thin">
        <color auto="1"/>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0" fillId="0" borderId="0" applyFont="0" applyFill="0" applyBorder="0" applyAlignment="0" applyProtection="0">
      <alignment vertical="center"/>
    </xf>
    <xf numFmtId="0" fontId="13" fillId="15" borderId="0" applyNumberFormat="0" applyBorder="0" applyAlignment="0" applyProtection="0">
      <alignment vertical="center"/>
    </xf>
    <xf numFmtId="0" fontId="23" fillId="16" borderId="15"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3" fillId="20" borderId="0" applyNumberFormat="0" applyBorder="0" applyAlignment="0" applyProtection="0">
      <alignment vertical="center"/>
    </xf>
    <xf numFmtId="0" fontId="16" fillId="5" borderId="0" applyNumberFormat="0" applyBorder="0" applyAlignment="0" applyProtection="0">
      <alignment vertical="center"/>
    </xf>
    <xf numFmtId="43" fontId="0" fillId="0" borderId="0" applyFont="0" applyFill="0" applyBorder="0" applyAlignment="0" applyProtection="0">
      <alignment vertical="center"/>
    </xf>
    <xf numFmtId="0" fontId="15" fillId="22" borderId="0" applyNumberFormat="0" applyBorder="0" applyAlignment="0" applyProtection="0">
      <alignment vertical="center"/>
    </xf>
    <xf numFmtId="0" fontId="25" fillId="0" borderId="0" applyNumberFormat="0" applyFill="0" applyBorder="0" applyAlignment="0" applyProtection="0">
      <alignment vertical="center"/>
    </xf>
    <xf numFmtId="9"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0" fillId="23" borderId="17" applyNumberFormat="0" applyFont="0" applyAlignment="0" applyProtection="0">
      <alignment vertical="center"/>
    </xf>
    <xf numFmtId="0" fontId="15" fillId="4" borderId="0" applyNumberFormat="0" applyBorder="0" applyAlignment="0" applyProtection="0">
      <alignment vertical="center"/>
    </xf>
    <xf numFmtId="0" fontId="12"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0" fillId="0" borderId="14" applyNumberFormat="0" applyFill="0" applyAlignment="0" applyProtection="0">
      <alignment vertical="center"/>
    </xf>
    <xf numFmtId="0" fontId="22" fillId="0" borderId="14" applyNumberFormat="0" applyFill="0" applyAlignment="0" applyProtection="0">
      <alignment vertical="center"/>
    </xf>
    <xf numFmtId="0" fontId="15" fillId="24" borderId="0" applyNumberFormat="0" applyBorder="0" applyAlignment="0" applyProtection="0">
      <alignment vertical="center"/>
    </xf>
    <xf numFmtId="0" fontId="12" fillId="0" borderId="16" applyNumberFormat="0" applyFill="0" applyAlignment="0" applyProtection="0">
      <alignment vertical="center"/>
    </xf>
    <xf numFmtId="0" fontId="15" fillId="19" borderId="0" applyNumberFormat="0" applyBorder="0" applyAlignment="0" applyProtection="0">
      <alignment vertical="center"/>
    </xf>
    <xf numFmtId="0" fontId="17" fillId="8" borderId="12" applyNumberFormat="0" applyAlignment="0" applyProtection="0">
      <alignment vertical="center"/>
    </xf>
    <xf numFmtId="0" fontId="21" fillId="8" borderId="15" applyNumberFormat="0" applyAlignment="0" applyProtection="0">
      <alignment vertical="center"/>
    </xf>
    <xf numFmtId="0" fontId="19" fillId="11" borderId="13" applyNumberFormat="0" applyAlignment="0" applyProtection="0">
      <alignment vertical="center"/>
    </xf>
    <xf numFmtId="0" fontId="13" fillId="26" borderId="0" applyNumberFormat="0" applyBorder="0" applyAlignment="0" applyProtection="0">
      <alignment vertical="center"/>
    </xf>
    <xf numFmtId="0" fontId="15" fillId="18" borderId="0" applyNumberFormat="0" applyBorder="0" applyAlignment="0" applyProtection="0">
      <alignment vertical="center"/>
    </xf>
    <xf numFmtId="0" fontId="28" fillId="0" borderId="18" applyNumberFormat="0" applyFill="0" applyAlignment="0" applyProtection="0">
      <alignment vertical="center"/>
    </xf>
    <xf numFmtId="0" fontId="29" fillId="0" borderId="19" applyNumberFormat="0" applyFill="0" applyAlignment="0" applyProtection="0">
      <alignment vertical="center"/>
    </xf>
    <xf numFmtId="0" fontId="24" fillId="17" borderId="0" applyNumberFormat="0" applyBorder="0" applyAlignment="0" applyProtection="0">
      <alignment vertical="center"/>
    </xf>
    <xf numFmtId="0" fontId="14" fillId="3" borderId="0" applyNumberFormat="0" applyBorder="0" applyAlignment="0" applyProtection="0">
      <alignment vertical="center"/>
    </xf>
    <xf numFmtId="0" fontId="13" fillId="14" borderId="0" applyNumberFormat="0" applyBorder="0" applyAlignment="0" applyProtection="0">
      <alignment vertical="center"/>
    </xf>
    <xf numFmtId="0" fontId="15" fillId="7" borderId="0" applyNumberFormat="0" applyBorder="0" applyAlignment="0" applyProtection="0">
      <alignment vertical="center"/>
    </xf>
    <xf numFmtId="0" fontId="13" fillId="10" borderId="0" applyNumberFormat="0" applyBorder="0" applyAlignment="0" applyProtection="0">
      <alignment vertical="center"/>
    </xf>
    <xf numFmtId="0" fontId="13" fillId="13" borderId="0" applyNumberFormat="0" applyBorder="0" applyAlignment="0" applyProtection="0">
      <alignment vertical="center"/>
    </xf>
    <xf numFmtId="0" fontId="13" fillId="29" borderId="0" applyNumberFormat="0" applyBorder="0" applyAlignment="0" applyProtection="0">
      <alignment vertical="center"/>
    </xf>
    <xf numFmtId="0" fontId="13" fillId="9" borderId="0" applyNumberFormat="0" applyBorder="0" applyAlignment="0" applyProtection="0">
      <alignment vertical="center"/>
    </xf>
    <xf numFmtId="0" fontId="15" fillId="21" borderId="0" applyNumberFormat="0" applyBorder="0" applyAlignment="0" applyProtection="0">
      <alignment vertical="center"/>
    </xf>
    <xf numFmtId="0" fontId="15" fillId="6" borderId="0" applyNumberFormat="0" applyBorder="0" applyAlignment="0" applyProtection="0">
      <alignment vertical="center"/>
    </xf>
    <xf numFmtId="0" fontId="13" fillId="2" borderId="0" applyNumberFormat="0" applyBorder="0" applyAlignment="0" applyProtection="0">
      <alignment vertical="center"/>
    </xf>
    <xf numFmtId="0" fontId="13" fillId="28" borderId="0" applyNumberFormat="0" applyBorder="0" applyAlignment="0" applyProtection="0">
      <alignment vertical="center"/>
    </xf>
    <xf numFmtId="0" fontId="15" fillId="12" borderId="0" applyNumberFormat="0" applyBorder="0" applyAlignment="0" applyProtection="0">
      <alignment vertical="center"/>
    </xf>
    <xf numFmtId="0" fontId="13" fillId="27" borderId="0" applyNumberFormat="0" applyBorder="0" applyAlignment="0" applyProtection="0">
      <alignment vertical="center"/>
    </xf>
    <xf numFmtId="0" fontId="15" fillId="30" borderId="0" applyNumberFormat="0" applyBorder="0" applyAlignment="0" applyProtection="0">
      <alignment vertical="center"/>
    </xf>
    <xf numFmtId="0" fontId="15" fillId="25" borderId="0" applyNumberFormat="0" applyBorder="0" applyAlignment="0" applyProtection="0">
      <alignment vertical="center"/>
    </xf>
    <xf numFmtId="0" fontId="13" fillId="31" borderId="0" applyNumberFormat="0" applyBorder="0" applyAlignment="0" applyProtection="0">
      <alignment vertical="center"/>
    </xf>
    <xf numFmtId="0" fontId="15" fillId="32" borderId="0" applyNumberFormat="0" applyBorder="0" applyAlignment="0" applyProtection="0">
      <alignment vertical="center"/>
    </xf>
  </cellStyleXfs>
  <cellXfs count="109">
    <xf numFmtId="0" fontId="0" fillId="0" borderId="0" xfId="0">
      <alignment vertical="center"/>
    </xf>
    <xf numFmtId="0" fontId="0" fillId="0" borderId="0" xfId="0" applyFill="1" applyAlignment="1">
      <alignment horizontal="center" vertical="center"/>
    </xf>
    <xf numFmtId="0" fontId="0" fillId="0" borderId="0" xfId="0" applyFill="1" applyAlignment="1">
      <alignment horizontal="center" vertical="center" wrapText="1"/>
    </xf>
    <xf numFmtId="0" fontId="0" fillId="0" borderId="0" xfId="0" applyFill="1" applyBorder="1" applyAlignment="1">
      <alignment horizontal="center" vertical="center" wrapText="1"/>
    </xf>
    <xf numFmtId="0" fontId="1" fillId="0" borderId="0" xfId="0" applyFont="1" applyFill="1" applyAlignment="1">
      <alignment horizontal="left" vertical="center"/>
    </xf>
    <xf numFmtId="0" fontId="1" fillId="0" borderId="0" xfId="0" applyFont="1" applyFill="1" applyAlignment="1">
      <alignment horizontal="right" vertical="center"/>
    </xf>
    <xf numFmtId="0" fontId="0" fillId="0" borderId="0" xfId="0" applyFill="1" applyBorder="1" applyAlignment="1">
      <alignment horizontal="center" vertical="center"/>
    </xf>
    <xf numFmtId="0" fontId="1" fillId="0" borderId="0" xfId="0" applyFont="1" applyFill="1" applyBorder="1" applyAlignment="1">
      <alignment horizontal="right" vertical="center"/>
    </xf>
    <xf numFmtId="0" fontId="1" fillId="0" borderId="0" xfId="0" applyFont="1" applyFill="1" applyAlignment="1">
      <alignment horizontal="center" vertical="center"/>
    </xf>
    <xf numFmtId="0" fontId="2" fillId="0" borderId="0" xfId="0" applyFont="1" applyFill="1" applyAlignment="1">
      <alignment horizontal="center" vertical="center" wrapText="1"/>
    </xf>
    <xf numFmtId="0" fontId="2" fillId="0" borderId="0" xfId="0" applyFont="1" applyFill="1" applyAlignment="1">
      <alignment horizontal="center" vertical="center"/>
    </xf>
    <xf numFmtId="0" fontId="3" fillId="0" borderId="0" xfId="0" applyFont="1" applyFill="1" applyAlignment="1">
      <alignment horizontal="center" vertical="center" wrapText="1"/>
    </xf>
    <xf numFmtId="0" fontId="3" fillId="0" borderId="0" xfId="0" applyFont="1" applyFill="1" applyAlignment="1">
      <alignment horizontal="center" vertical="center"/>
    </xf>
    <xf numFmtId="0" fontId="4" fillId="0" borderId="0" xfId="0" applyFont="1" applyFill="1" applyAlignment="1">
      <alignment horizontal="center" wrapText="1"/>
    </xf>
    <xf numFmtId="0" fontId="4" fillId="0" borderId="1" xfId="0" applyFont="1" applyFill="1" applyBorder="1" applyAlignment="1">
      <alignment horizontal="left"/>
    </xf>
    <xf numFmtId="0" fontId="4" fillId="0" borderId="1" xfId="0" applyFont="1" applyFill="1" applyBorder="1" applyAlignment="1">
      <alignment horizontal="left" wrapText="1"/>
    </xf>
    <xf numFmtId="177" fontId="4" fillId="0" borderId="1" xfId="0" applyNumberFormat="1" applyFont="1" applyFill="1" applyBorder="1" applyAlignment="1">
      <alignment horizontal="left"/>
    </xf>
    <xf numFmtId="0" fontId="4" fillId="0" borderId="0" xfId="0" applyFont="1" applyFill="1" applyAlignment="1">
      <alignment horizontal="center" vertical="center" wrapText="1"/>
    </xf>
    <xf numFmtId="177" fontId="4" fillId="0" borderId="0" xfId="0" applyNumberFormat="1" applyFont="1" applyFill="1" applyAlignment="1">
      <alignment horizontal="center" vertical="center"/>
    </xf>
    <xf numFmtId="0" fontId="4" fillId="0" borderId="2" xfId="0" applyFont="1" applyFill="1" applyBorder="1" applyAlignment="1">
      <alignment horizontal="center" vertical="center" wrapText="1"/>
    </xf>
    <xf numFmtId="0" fontId="4" fillId="0" borderId="2" xfId="0" applyFont="1" applyFill="1" applyBorder="1" applyAlignment="1">
      <alignment horizontal="center" vertical="center"/>
    </xf>
    <xf numFmtId="0" fontId="4" fillId="0" borderId="3" xfId="0" applyFont="1" applyFill="1" applyBorder="1" applyAlignment="1">
      <alignment horizontal="center" vertical="center" wrapText="1"/>
    </xf>
    <xf numFmtId="0" fontId="4" fillId="0" borderId="4" xfId="0" applyFont="1" applyFill="1" applyBorder="1" applyAlignment="1">
      <alignment horizontal="center" vertical="center" wrapText="1"/>
    </xf>
    <xf numFmtId="177" fontId="4" fillId="0" borderId="3" xfId="0" applyNumberFormat="1" applyFont="1" applyFill="1" applyBorder="1" applyAlignment="1">
      <alignment horizontal="center" vertical="center"/>
    </xf>
    <xf numFmtId="177" fontId="4" fillId="0" borderId="4" xfId="0" applyNumberFormat="1" applyFont="1" applyFill="1" applyBorder="1" applyAlignment="1">
      <alignment horizontal="center" vertical="center"/>
    </xf>
    <xf numFmtId="0" fontId="4" fillId="0" borderId="0" xfId="0" applyFont="1" applyFill="1" applyAlignment="1">
      <alignment horizontal="center" vertical="center"/>
    </xf>
    <xf numFmtId="0" fontId="4" fillId="0" borderId="5" xfId="0" applyFont="1" applyFill="1" applyBorder="1" applyAlignment="1">
      <alignment horizontal="left" vertical="center"/>
    </xf>
    <xf numFmtId="0" fontId="4" fillId="0" borderId="5" xfId="0" applyFont="1" applyFill="1" applyBorder="1" applyAlignment="1">
      <alignment horizontal="center" vertical="center" wrapText="1"/>
    </xf>
    <xf numFmtId="0" fontId="4" fillId="0" borderId="5" xfId="0" applyFont="1" applyFill="1" applyBorder="1" applyAlignment="1">
      <alignment horizontal="right" vertical="center"/>
    </xf>
    <xf numFmtId="0" fontId="4" fillId="0" borderId="5" xfId="0" applyFont="1" applyFill="1" applyBorder="1" applyAlignment="1">
      <alignment horizontal="center" vertical="center"/>
    </xf>
    <xf numFmtId="0" fontId="4" fillId="0" borderId="0" xfId="0" applyFont="1" applyFill="1" applyBorder="1" applyAlignment="1">
      <alignment horizontal="left" vertical="center"/>
    </xf>
    <xf numFmtId="0" fontId="4" fillId="0" borderId="0" xfId="0" applyFont="1" applyFill="1" applyBorder="1" applyAlignment="1">
      <alignment horizontal="left" vertical="center" wrapText="1"/>
    </xf>
    <xf numFmtId="0" fontId="4" fillId="0" borderId="5" xfId="0" applyFont="1" applyFill="1" applyBorder="1" applyAlignment="1">
      <alignment horizontal="left" vertical="center" wrapText="1"/>
    </xf>
    <xf numFmtId="0" fontId="4" fillId="0" borderId="1" xfId="0" applyFont="1" applyFill="1" applyBorder="1" applyAlignment="1">
      <alignment horizontal="left" vertical="center"/>
    </xf>
    <xf numFmtId="0" fontId="4" fillId="0" borderId="1" xfId="0" applyFont="1" applyFill="1" applyBorder="1" applyAlignment="1">
      <alignment horizontal="left" vertical="center" wrapText="1"/>
    </xf>
    <xf numFmtId="0" fontId="4" fillId="0" borderId="6" xfId="0" applyFont="1" applyFill="1" applyBorder="1" applyAlignment="1">
      <alignment horizontal="center" vertical="center" wrapText="1"/>
    </xf>
    <xf numFmtId="176" fontId="4" fillId="0" borderId="2" xfId="0" applyNumberFormat="1" applyFont="1" applyFill="1" applyBorder="1" applyAlignment="1">
      <alignment horizontal="center" vertical="center"/>
    </xf>
    <xf numFmtId="0" fontId="4" fillId="0" borderId="7" xfId="0" applyFont="1" applyFill="1" applyBorder="1" applyAlignment="1">
      <alignment horizontal="center" vertical="center" wrapText="1"/>
    </xf>
    <xf numFmtId="0" fontId="4" fillId="0" borderId="3" xfId="0" applyFont="1" applyFill="1" applyBorder="1" applyAlignment="1">
      <alignment horizontal="left" vertical="center" wrapText="1"/>
    </xf>
    <xf numFmtId="0" fontId="4" fillId="0" borderId="7" xfId="0" applyFont="1" applyFill="1" applyBorder="1" applyAlignment="1">
      <alignment horizontal="left" vertical="center" wrapText="1"/>
    </xf>
    <xf numFmtId="0" fontId="4" fillId="0" borderId="0" xfId="0" applyFont="1" applyFill="1" applyAlignment="1">
      <alignment horizontal="left" vertical="center" wrapText="1"/>
    </xf>
    <xf numFmtId="0" fontId="4" fillId="0" borderId="0" xfId="0" applyFont="1" applyFill="1" applyAlignment="1">
      <alignment horizontal="right" vertical="center" wrapText="1"/>
    </xf>
    <xf numFmtId="0" fontId="1" fillId="0" borderId="0" xfId="0" applyFont="1" applyAlignment="1">
      <alignment horizontal="left" vertical="center"/>
    </xf>
    <xf numFmtId="0" fontId="0" fillId="0" borderId="0" xfId="0" applyFill="1" applyAlignment="1">
      <alignment vertical="center"/>
    </xf>
    <xf numFmtId="0" fontId="5" fillId="0" borderId="0" xfId="0" applyFont="1" applyFill="1" applyAlignment="1">
      <alignment horizontal="left" vertical="center"/>
    </xf>
    <xf numFmtId="0" fontId="1" fillId="0" borderId="0" xfId="0" applyFont="1" applyFill="1" applyBorder="1" applyAlignment="1">
      <alignment horizontal="left" vertical="center"/>
    </xf>
    <xf numFmtId="0" fontId="4" fillId="0" borderId="0" xfId="0" applyFont="1" applyFill="1" applyAlignment="1">
      <alignment horizontal="center"/>
    </xf>
    <xf numFmtId="0" fontId="4" fillId="0" borderId="3" xfId="0" applyFont="1" applyFill="1" applyBorder="1" applyAlignment="1">
      <alignment horizontal="center" vertical="center"/>
    </xf>
    <xf numFmtId="0" fontId="4" fillId="0" borderId="4" xfId="0" applyFont="1" applyFill="1" applyBorder="1" applyAlignment="1">
      <alignment horizontal="center" vertical="center"/>
    </xf>
    <xf numFmtId="0" fontId="4" fillId="0" borderId="7" xfId="0" applyFont="1" applyFill="1" applyBorder="1" applyAlignment="1">
      <alignment horizontal="center" vertical="center"/>
    </xf>
    <xf numFmtId="14" fontId="4" fillId="0" borderId="5" xfId="0" applyNumberFormat="1" applyFont="1" applyFill="1" applyBorder="1" applyAlignment="1">
      <alignment horizontal="center" vertical="center"/>
    </xf>
    <xf numFmtId="14" fontId="4" fillId="0" borderId="8" xfId="0" applyNumberFormat="1" applyFont="1" applyFill="1" applyBorder="1" applyAlignment="1">
      <alignment horizontal="center" vertical="center"/>
    </xf>
    <xf numFmtId="0" fontId="4" fillId="0" borderId="0" xfId="0" applyFont="1" applyFill="1" applyBorder="1" applyAlignment="1">
      <alignment horizontal="center" vertical="center"/>
    </xf>
    <xf numFmtId="14" fontId="4" fillId="0" borderId="0" xfId="0" applyNumberFormat="1" applyFont="1" applyFill="1" applyBorder="1" applyAlignment="1">
      <alignment horizontal="center" vertical="center"/>
    </xf>
    <xf numFmtId="14" fontId="4" fillId="0" borderId="9" xfId="0" applyNumberFormat="1" applyFont="1" applyFill="1" applyBorder="1" applyAlignment="1">
      <alignment horizontal="center" vertical="center"/>
    </xf>
    <xf numFmtId="49" fontId="4" fillId="0" borderId="5" xfId="0" applyNumberFormat="1" applyFont="1" applyFill="1" applyBorder="1" applyAlignment="1">
      <alignment horizontal="center" vertical="center"/>
    </xf>
    <xf numFmtId="49" fontId="4" fillId="0" borderId="8" xfId="0" applyNumberFormat="1" applyFont="1" applyFill="1" applyBorder="1" applyAlignment="1">
      <alignment horizontal="center" vertical="center"/>
    </xf>
    <xf numFmtId="0" fontId="4" fillId="0" borderId="1" xfId="0" applyFont="1" applyFill="1" applyBorder="1" applyAlignment="1">
      <alignment horizontal="center" vertical="center"/>
    </xf>
    <xf numFmtId="14" fontId="4" fillId="0" borderId="1" xfId="0" applyNumberFormat="1" applyFont="1" applyFill="1" applyBorder="1" applyAlignment="1">
      <alignment horizontal="center" vertical="center"/>
    </xf>
    <xf numFmtId="14" fontId="4" fillId="0" borderId="10" xfId="0" applyNumberFormat="1" applyFont="1" applyFill="1" applyBorder="1" applyAlignment="1">
      <alignment horizontal="center" vertical="center"/>
    </xf>
    <xf numFmtId="0" fontId="4" fillId="0" borderId="11" xfId="0" applyFont="1" applyFill="1" applyBorder="1" applyAlignment="1">
      <alignment horizontal="center" vertical="center" wrapText="1"/>
    </xf>
    <xf numFmtId="0" fontId="4" fillId="0" borderId="10" xfId="0" applyFont="1" applyFill="1" applyBorder="1" applyAlignment="1">
      <alignment horizontal="center" vertical="center" wrapText="1"/>
    </xf>
    <xf numFmtId="0" fontId="4" fillId="0" borderId="4" xfId="0" applyFont="1" applyFill="1" applyBorder="1" applyAlignment="1">
      <alignment horizontal="left" vertical="center" wrapText="1"/>
    </xf>
    <xf numFmtId="178" fontId="4" fillId="0" borderId="1" xfId="0" applyNumberFormat="1" applyFont="1" applyFill="1" applyBorder="1" applyAlignment="1">
      <alignment horizontal="left"/>
    </xf>
    <xf numFmtId="0" fontId="4" fillId="0" borderId="3" xfId="0" applyFont="1" applyFill="1" applyBorder="1" applyAlignment="1">
      <alignment horizontal="left" vertical="center" wrapText="1"/>
    </xf>
    <xf numFmtId="0" fontId="4" fillId="0" borderId="7" xfId="0" applyFont="1" applyFill="1" applyBorder="1" applyAlignment="1">
      <alignment horizontal="left" vertical="center" wrapText="1"/>
    </xf>
    <xf numFmtId="0" fontId="4" fillId="0" borderId="4" xfId="0" applyFont="1" applyFill="1" applyBorder="1" applyAlignment="1">
      <alignment horizontal="left" vertical="center" wrapText="1"/>
    </xf>
    <xf numFmtId="178" fontId="4" fillId="0" borderId="7" xfId="0" applyNumberFormat="1" applyFont="1" applyFill="1" applyBorder="1" applyAlignment="1">
      <alignment horizontal="center" vertical="center"/>
    </xf>
    <xf numFmtId="178" fontId="4" fillId="0" borderId="4" xfId="0" applyNumberFormat="1" applyFont="1" applyFill="1" applyBorder="1" applyAlignment="1">
      <alignment vertical="center"/>
    </xf>
    <xf numFmtId="178" fontId="4" fillId="0" borderId="7" xfId="0" applyNumberFormat="1" applyFont="1" applyFill="1" applyBorder="1" applyAlignment="1">
      <alignment horizontal="left" vertical="center"/>
    </xf>
    <xf numFmtId="178" fontId="4" fillId="0" borderId="4" xfId="0" applyNumberFormat="1" applyFont="1" applyFill="1" applyBorder="1" applyAlignment="1">
      <alignment horizontal="left" vertical="center"/>
    </xf>
    <xf numFmtId="0" fontId="4" fillId="0" borderId="7" xfId="0" applyFont="1" applyFill="1" applyBorder="1" applyAlignment="1">
      <alignment horizontal="center" vertical="center"/>
    </xf>
    <xf numFmtId="0" fontId="4" fillId="0" borderId="4" xfId="0" applyFont="1" applyFill="1" applyBorder="1" applyAlignment="1">
      <alignment horizontal="center" vertical="center"/>
    </xf>
    <xf numFmtId="0" fontId="4" fillId="0" borderId="7" xfId="0" applyFont="1" applyFill="1" applyBorder="1" applyAlignment="1">
      <alignment horizontal="left" vertical="center"/>
    </xf>
    <xf numFmtId="0" fontId="4" fillId="0" borderId="4" xfId="0" applyFont="1" applyFill="1" applyBorder="1" applyAlignment="1">
      <alignment horizontal="left" vertical="center"/>
    </xf>
    <xf numFmtId="178" fontId="4" fillId="0" borderId="5" xfId="0" applyNumberFormat="1" applyFont="1" applyFill="1" applyBorder="1" applyAlignment="1">
      <alignment horizontal="left" vertical="center"/>
    </xf>
    <xf numFmtId="178" fontId="4" fillId="0" borderId="8" xfId="0" applyNumberFormat="1" applyFont="1" applyFill="1" applyBorder="1" applyAlignment="1">
      <alignment horizontal="left" vertical="center"/>
    </xf>
    <xf numFmtId="14" fontId="4" fillId="0" borderId="0" xfId="0" applyNumberFormat="1" applyFont="1" applyFill="1" applyBorder="1" applyAlignment="1">
      <alignment horizontal="left" vertical="center"/>
    </xf>
    <xf numFmtId="14" fontId="4" fillId="0" borderId="9" xfId="0" applyNumberFormat="1" applyFont="1" applyFill="1" applyBorder="1" applyAlignment="1">
      <alignment horizontal="left" vertical="center"/>
    </xf>
    <xf numFmtId="14" fontId="4" fillId="0" borderId="5" xfId="0" applyNumberFormat="1" applyFont="1" applyFill="1" applyBorder="1" applyAlignment="1">
      <alignment horizontal="left" vertical="center"/>
    </xf>
    <xf numFmtId="14" fontId="4" fillId="0" borderId="8" xfId="0" applyNumberFormat="1" applyFont="1" applyFill="1" applyBorder="1" applyAlignment="1">
      <alignment horizontal="left" vertical="center"/>
    </xf>
    <xf numFmtId="49" fontId="4" fillId="0" borderId="5" xfId="0" applyNumberFormat="1" applyFont="1" applyFill="1" applyBorder="1" applyAlignment="1">
      <alignment horizontal="left" vertical="center"/>
    </xf>
    <xf numFmtId="49" fontId="4" fillId="0" borderId="8" xfId="0" applyNumberFormat="1" applyFont="1" applyFill="1" applyBorder="1" applyAlignment="1">
      <alignment horizontal="left" vertical="center"/>
    </xf>
    <xf numFmtId="178" fontId="0" fillId="0" borderId="0" xfId="0" applyNumberFormat="1">
      <alignment vertical="center"/>
    </xf>
    <xf numFmtId="14" fontId="4" fillId="0" borderId="1" xfId="0" applyNumberFormat="1" applyFont="1" applyFill="1" applyBorder="1" applyAlignment="1">
      <alignment horizontal="left" vertical="center"/>
    </xf>
    <xf numFmtId="14" fontId="4" fillId="0" borderId="10" xfId="0" applyNumberFormat="1" applyFont="1" applyFill="1" applyBorder="1" applyAlignment="1">
      <alignment horizontal="left" vertical="center"/>
    </xf>
    <xf numFmtId="0" fontId="1" fillId="0" borderId="0" xfId="0" applyFont="1">
      <alignment vertical="center"/>
    </xf>
    <xf numFmtId="0" fontId="1" fillId="0" borderId="0" xfId="0" applyFont="1" applyAlignment="1">
      <alignment horizontal="center" vertical="center"/>
    </xf>
    <xf numFmtId="0" fontId="6" fillId="0" borderId="0" xfId="0" applyFont="1" applyAlignment="1">
      <alignment horizontal="center" vertical="center"/>
    </xf>
    <xf numFmtId="0" fontId="0" fillId="0" borderId="0" xfId="0" applyAlignment="1">
      <alignment horizontal="center" vertical="center"/>
    </xf>
    <xf numFmtId="0" fontId="0" fillId="0" borderId="0" xfId="0" applyNumberFormat="1" applyAlignment="1">
      <alignment horizontal="center" vertical="center"/>
    </xf>
    <xf numFmtId="0" fontId="7" fillId="0" borderId="0" xfId="0" applyFont="1" applyAlignment="1">
      <alignment horizontal="center" vertical="center"/>
    </xf>
    <xf numFmtId="0" fontId="6" fillId="0" borderId="0" xfId="0" applyFont="1" applyAlignment="1">
      <alignment horizontal="center" vertical="center" wrapText="1"/>
    </xf>
    <xf numFmtId="0" fontId="8" fillId="0" borderId="0" xfId="0" applyFont="1" applyAlignment="1">
      <alignment horizontal="center" vertical="center"/>
    </xf>
    <xf numFmtId="0" fontId="8" fillId="0" borderId="0" xfId="0" applyFont="1" applyAlignment="1">
      <alignment horizontal="center" vertical="center" wrapText="1"/>
    </xf>
    <xf numFmtId="0" fontId="0" fillId="0" borderId="0" xfId="0" applyAlignment="1">
      <alignment horizontal="center" vertical="center" wrapText="1"/>
    </xf>
    <xf numFmtId="0" fontId="0" fillId="0" borderId="2" xfId="0" applyBorder="1" applyAlignment="1">
      <alignment horizontal="center" vertical="center" wrapText="1"/>
    </xf>
    <xf numFmtId="0" fontId="0" fillId="0" borderId="0" xfId="0" applyBorder="1" applyAlignment="1">
      <alignment horizontal="center" vertical="center"/>
    </xf>
    <xf numFmtId="14" fontId="0" fillId="0" borderId="0" xfId="0" applyNumberFormat="1" applyAlignment="1">
      <alignment horizontal="center" vertical="center"/>
    </xf>
    <xf numFmtId="0" fontId="6" fillId="0" borderId="0" xfId="0" applyNumberFormat="1" applyFont="1" applyAlignment="1">
      <alignment horizontal="center" vertical="center"/>
    </xf>
    <xf numFmtId="0" fontId="8" fillId="0" borderId="0" xfId="0" applyNumberFormat="1" applyFont="1" applyAlignment="1">
      <alignment horizontal="center" vertical="center"/>
    </xf>
    <xf numFmtId="0" fontId="6" fillId="0" borderId="0" xfId="0" applyFont="1" applyBorder="1" applyAlignment="1">
      <alignment horizontal="center" vertical="center"/>
    </xf>
    <xf numFmtId="179" fontId="0" fillId="0" borderId="0" xfId="0" applyNumberFormat="1" applyAlignment="1">
      <alignment horizontal="center" vertical="center" wrapText="1"/>
    </xf>
    <xf numFmtId="14" fontId="0" fillId="0" borderId="0" xfId="0" applyNumberFormat="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horizontal="center" vertical="center"/>
    </xf>
    <xf numFmtId="0" fontId="0" fillId="0" borderId="0" xfId="0" applyFont="1" applyAlignment="1">
      <alignment horizontal="center" vertical="center" wrapText="1"/>
    </xf>
    <xf numFmtId="0" fontId="0" fillId="0" borderId="0" xfId="0" applyAlignment="1">
      <alignment vertical="center" wrapText="1"/>
    </xf>
    <xf numFmtId="0" fontId="10" fillId="0" borderId="0" xfId="0" applyFont="1" applyAlignment="1">
      <alignment horizontal="justify" vertical="center"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externalLink" Target="externalLinks/externalLink1.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externalLink" Target="externalLinks/externalLink4.xml"/><Relationship Id="rId11" Type="http://schemas.openxmlformats.org/officeDocument/2006/relationships/externalLink" Target="externalLinks/externalLink3.xml"/><Relationship Id="rId10" Type="http://schemas.openxmlformats.org/officeDocument/2006/relationships/externalLink" Target="externalLinks/externalLink2.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490220</xdr:colOff>
      <xdr:row>36</xdr:row>
      <xdr:rowOff>175895</xdr:rowOff>
    </xdr:from>
    <xdr:to>
      <xdr:col>3</xdr:col>
      <xdr:colOff>66675</xdr:colOff>
      <xdr:row>37</xdr:row>
      <xdr:rowOff>19685</xdr:rowOff>
    </xdr:to>
    <xdr:pic>
      <xdr:nvPicPr>
        <xdr:cNvPr id="2" name="图片 1" descr="熊茂"/>
        <xdr:cNvPicPr>
          <a:picLocks noChangeAspect="1"/>
        </xdr:cNvPicPr>
      </xdr:nvPicPr>
      <xdr:blipFill>
        <a:blip r:embed="rId1"/>
        <a:stretch>
          <a:fillRect/>
        </a:stretch>
      </xdr:blipFill>
      <xdr:spPr>
        <a:xfrm>
          <a:off x="728345" y="9281795"/>
          <a:ext cx="633730" cy="389890"/>
        </a:xfrm>
        <a:prstGeom prst="rect">
          <a:avLst/>
        </a:prstGeom>
      </xdr:spPr>
    </xdr:pic>
    <xdr:clientData/>
  </xdr:twoCellAnchor>
  <xdr:twoCellAnchor editAs="oneCell">
    <xdr:from>
      <xdr:col>10</xdr:col>
      <xdr:colOff>114300</xdr:colOff>
      <xdr:row>36</xdr:row>
      <xdr:rowOff>142875</xdr:rowOff>
    </xdr:from>
    <xdr:to>
      <xdr:col>13</xdr:col>
      <xdr:colOff>151130</xdr:colOff>
      <xdr:row>37</xdr:row>
      <xdr:rowOff>42545</xdr:rowOff>
    </xdr:to>
    <xdr:pic>
      <xdr:nvPicPr>
        <xdr:cNvPr id="3" name="图片 2" descr="李炳强"/>
        <xdr:cNvPicPr>
          <a:picLocks noChangeAspect="1"/>
        </xdr:cNvPicPr>
      </xdr:nvPicPr>
      <xdr:blipFill>
        <a:blip r:embed="rId2"/>
        <a:stretch>
          <a:fillRect/>
        </a:stretch>
      </xdr:blipFill>
      <xdr:spPr>
        <a:xfrm>
          <a:off x="4848225" y="9248775"/>
          <a:ext cx="1217930" cy="445770"/>
        </a:xfrm>
        <a:prstGeom prst="rect">
          <a:avLst/>
        </a:prstGeom>
      </xdr:spPr>
    </xdr:pic>
    <xdr:clientData/>
  </xdr:twoCellAnchor>
  <xdr:twoCellAnchor editAs="oneCell">
    <xdr:from>
      <xdr:col>6</xdr:col>
      <xdr:colOff>104775</xdr:colOff>
      <xdr:row>36</xdr:row>
      <xdr:rowOff>142875</xdr:rowOff>
    </xdr:from>
    <xdr:to>
      <xdr:col>7</xdr:col>
      <xdr:colOff>381635</xdr:colOff>
      <xdr:row>37</xdr:row>
      <xdr:rowOff>29210</xdr:rowOff>
    </xdr:to>
    <xdr:pic>
      <xdr:nvPicPr>
        <xdr:cNvPr id="4" name="图片 3" descr="邓志华"/>
        <xdr:cNvPicPr>
          <a:picLocks noChangeAspect="1"/>
        </xdr:cNvPicPr>
      </xdr:nvPicPr>
      <xdr:blipFill>
        <a:blip r:embed="rId3"/>
        <a:stretch>
          <a:fillRect/>
        </a:stretch>
      </xdr:blipFill>
      <xdr:spPr>
        <a:xfrm>
          <a:off x="2895600" y="9248775"/>
          <a:ext cx="753110" cy="432435"/>
        </a:xfrm>
        <a:prstGeom prst="rect">
          <a:avLst/>
        </a:prstGeom>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490220</xdr:colOff>
      <xdr:row>36</xdr:row>
      <xdr:rowOff>175895</xdr:rowOff>
    </xdr:from>
    <xdr:to>
      <xdr:col>3</xdr:col>
      <xdr:colOff>66675</xdr:colOff>
      <xdr:row>36</xdr:row>
      <xdr:rowOff>565785</xdr:rowOff>
    </xdr:to>
    <xdr:pic>
      <xdr:nvPicPr>
        <xdr:cNvPr id="2" name="图片 1" descr="熊茂"/>
        <xdr:cNvPicPr>
          <a:picLocks noChangeAspect="1"/>
        </xdr:cNvPicPr>
      </xdr:nvPicPr>
      <xdr:blipFill>
        <a:blip r:embed="rId1"/>
        <a:stretch>
          <a:fillRect/>
        </a:stretch>
      </xdr:blipFill>
      <xdr:spPr>
        <a:xfrm>
          <a:off x="728345" y="9154795"/>
          <a:ext cx="633730" cy="389890"/>
        </a:xfrm>
        <a:prstGeom prst="rect">
          <a:avLst/>
        </a:prstGeom>
      </xdr:spPr>
    </xdr:pic>
    <xdr:clientData/>
  </xdr:twoCellAnchor>
  <xdr:twoCellAnchor editAs="oneCell">
    <xdr:from>
      <xdr:col>10</xdr:col>
      <xdr:colOff>114300</xdr:colOff>
      <xdr:row>36</xdr:row>
      <xdr:rowOff>142875</xdr:rowOff>
    </xdr:from>
    <xdr:to>
      <xdr:col>13</xdr:col>
      <xdr:colOff>151130</xdr:colOff>
      <xdr:row>36</xdr:row>
      <xdr:rowOff>588645</xdr:rowOff>
    </xdr:to>
    <xdr:pic>
      <xdr:nvPicPr>
        <xdr:cNvPr id="3" name="图片 2" descr="李炳强"/>
        <xdr:cNvPicPr>
          <a:picLocks noChangeAspect="1"/>
        </xdr:cNvPicPr>
      </xdr:nvPicPr>
      <xdr:blipFill>
        <a:blip r:embed="rId2"/>
        <a:stretch>
          <a:fillRect/>
        </a:stretch>
      </xdr:blipFill>
      <xdr:spPr>
        <a:xfrm>
          <a:off x="4848225" y="9121775"/>
          <a:ext cx="1217930" cy="445770"/>
        </a:xfrm>
        <a:prstGeom prst="rect">
          <a:avLst/>
        </a:prstGeom>
      </xdr:spPr>
    </xdr:pic>
    <xdr:clientData/>
  </xdr:twoCellAnchor>
  <xdr:twoCellAnchor editAs="oneCell">
    <xdr:from>
      <xdr:col>6</xdr:col>
      <xdr:colOff>104775</xdr:colOff>
      <xdr:row>36</xdr:row>
      <xdr:rowOff>142875</xdr:rowOff>
    </xdr:from>
    <xdr:to>
      <xdr:col>7</xdr:col>
      <xdr:colOff>381635</xdr:colOff>
      <xdr:row>36</xdr:row>
      <xdr:rowOff>575310</xdr:rowOff>
    </xdr:to>
    <xdr:pic>
      <xdr:nvPicPr>
        <xdr:cNvPr id="4" name="图片 3" descr="邓志华"/>
        <xdr:cNvPicPr>
          <a:picLocks noChangeAspect="1"/>
        </xdr:cNvPicPr>
      </xdr:nvPicPr>
      <xdr:blipFill>
        <a:blip r:embed="rId3"/>
        <a:stretch>
          <a:fillRect/>
        </a:stretch>
      </xdr:blipFill>
      <xdr:spPr>
        <a:xfrm>
          <a:off x="2895600" y="9121775"/>
          <a:ext cx="753110" cy="432435"/>
        </a:xfrm>
        <a:prstGeom prst="rect">
          <a:avLst/>
        </a:prstGeom>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490220</xdr:colOff>
      <xdr:row>36</xdr:row>
      <xdr:rowOff>33020</xdr:rowOff>
    </xdr:from>
    <xdr:to>
      <xdr:col>3</xdr:col>
      <xdr:colOff>66040</xdr:colOff>
      <xdr:row>36</xdr:row>
      <xdr:rowOff>422275</xdr:rowOff>
    </xdr:to>
    <xdr:pic>
      <xdr:nvPicPr>
        <xdr:cNvPr id="2" name="图片 1" descr="熊茂"/>
        <xdr:cNvPicPr>
          <a:picLocks noChangeAspect="1"/>
        </xdr:cNvPicPr>
      </xdr:nvPicPr>
      <xdr:blipFill>
        <a:blip r:embed="rId1"/>
        <a:stretch>
          <a:fillRect/>
        </a:stretch>
      </xdr:blipFill>
      <xdr:spPr>
        <a:xfrm>
          <a:off x="728345" y="9215120"/>
          <a:ext cx="633095" cy="389255"/>
        </a:xfrm>
        <a:prstGeom prst="rect">
          <a:avLst/>
        </a:prstGeom>
      </xdr:spPr>
    </xdr:pic>
    <xdr:clientData/>
  </xdr:twoCellAnchor>
  <xdr:twoCellAnchor editAs="oneCell">
    <xdr:from>
      <xdr:col>10</xdr:col>
      <xdr:colOff>123825</xdr:colOff>
      <xdr:row>36</xdr:row>
      <xdr:rowOff>66675</xdr:rowOff>
    </xdr:from>
    <xdr:to>
      <xdr:col>13</xdr:col>
      <xdr:colOff>160020</xdr:colOff>
      <xdr:row>37</xdr:row>
      <xdr:rowOff>3810</xdr:rowOff>
    </xdr:to>
    <xdr:pic>
      <xdr:nvPicPr>
        <xdr:cNvPr id="3" name="图片 2" descr="李炳强"/>
        <xdr:cNvPicPr>
          <a:picLocks noChangeAspect="1"/>
        </xdr:cNvPicPr>
      </xdr:nvPicPr>
      <xdr:blipFill>
        <a:blip r:embed="rId2"/>
        <a:stretch>
          <a:fillRect/>
        </a:stretch>
      </xdr:blipFill>
      <xdr:spPr>
        <a:xfrm>
          <a:off x="4857750" y="9248775"/>
          <a:ext cx="1217295" cy="445135"/>
        </a:xfrm>
        <a:prstGeom prst="rect">
          <a:avLst/>
        </a:prstGeom>
      </xdr:spPr>
    </xdr:pic>
    <xdr:clientData/>
  </xdr:twoCellAnchor>
  <xdr:twoCellAnchor editAs="oneCell">
    <xdr:from>
      <xdr:col>6</xdr:col>
      <xdr:colOff>104775</xdr:colOff>
      <xdr:row>36</xdr:row>
      <xdr:rowOff>95250</xdr:rowOff>
    </xdr:from>
    <xdr:to>
      <xdr:col>7</xdr:col>
      <xdr:colOff>381000</xdr:colOff>
      <xdr:row>37</xdr:row>
      <xdr:rowOff>19050</xdr:rowOff>
    </xdr:to>
    <xdr:pic>
      <xdr:nvPicPr>
        <xdr:cNvPr id="4" name="图片 3" descr="邓志华"/>
        <xdr:cNvPicPr>
          <a:picLocks noChangeAspect="1"/>
        </xdr:cNvPicPr>
      </xdr:nvPicPr>
      <xdr:blipFill>
        <a:blip r:embed="rId3"/>
        <a:stretch>
          <a:fillRect/>
        </a:stretch>
      </xdr:blipFill>
      <xdr:spPr>
        <a:xfrm>
          <a:off x="2895600" y="9277350"/>
          <a:ext cx="752475" cy="431800"/>
        </a:xfrm>
        <a:prstGeom prst="rect">
          <a:avLst/>
        </a:prstGeom>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490220</xdr:colOff>
      <xdr:row>37</xdr:row>
      <xdr:rowOff>175895</xdr:rowOff>
    </xdr:from>
    <xdr:to>
      <xdr:col>3</xdr:col>
      <xdr:colOff>67310</xdr:colOff>
      <xdr:row>37</xdr:row>
      <xdr:rowOff>566420</xdr:rowOff>
    </xdr:to>
    <xdr:pic>
      <xdr:nvPicPr>
        <xdr:cNvPr id="2" name="图片 1" descr="熊茂"/>
        <xdr:cNvPicPr>
          <a:picLocks noChangeAspect="1"/>
        </xdr:cNvPicPr>
      </xdr:nvPicPr>
      <xdr:blipFill>
        <a:blip r:embed="rId1"/>
        <a:stretch>
          <a:fillRect/>
        </a:stretch>
      </xdr:blipFill>
      <xdr:spPr>
        <a:xfrm>
          <a:off x="728345" y="9307195"/>
          <a:ext cx="634365" cy="390525"/>
        </a:xfrm>
        <a:prstGeom prst="rect">
          <a:avLst/>
        </a:prstGeom>
      </xdr:spPr>
    </xdr:pic>
    <xdr:clientData/>
  </xdr:twoCellAnchor>
  <xdr:twoCellAnchor editAs="oneCell">
    <xdr:from>
      <xdr:col>10</xdr:col>
      <xdr:colOff>114300</xdr:colOff>
      <xdr:row>37</xdr:row>
      <xdr:rowOff>142875</xdr:rowOff>
    </xdr:from>
    <xdr:to>
      <xdr:col>13</xdr:col>
      <xdr:colOff>151765</xdr:colOff>
      <xdr:row>37</xdr:row>
      <xdr:rowOff>589280</xdr:rowOff>
    </xdr:to>
    <xdr:pic>
      <xdr:nvPicPr>
        <xdr:cNvPr id="3" name="图片 2" descr="李炳强"/>
        <xdr:cNvPicPr>
          <a:picLocks noChangeAspect="1"/>
        </xdr:cNvPicPr>
      </xdr:nvPicPr>
      <xdr:blipFill>
        <a:blip r:embed="rId2"/>
        <a:stretch>
          <a:fillRect/>
        </a:stretch>
      </xdr:blipFill>
      <xdr:spPr>
        <a:xfrm>
          <a:off x="4848225" y="9274175"/>
          <a:ext cx="1218565" cy="446405"/>
        </a:xfrm>
        <a:prstGeom prst="rect">
          <a:avLst/>
        </a:prstGeom>
      </xdr:spPr>
    </xdr:pic>
    <xdr:clientData/>
  </xdr:twoCellAnchor>
  <xdr:twoCellAnchor editAs="oneCell">
    <xdr:from>
      <xdr:col>6</xdr:col>
      <xdr:colOff>104775</xdr:colOff>
      <xdr:row>37</xdr:row>
      <xdr:rowOff>142875</xdr:rowOff>
    </xdr:from>
    <xdr:to>
      <xdr:col>7</xdr:col>
      <xdr:colOff>382270</xdr:colOff>
      <xdr:row>37</xdr:row>
      <xdr:rowOff>575945</xdr:rowOff>
    </xdr:to>
    <xdr:pic>
      <xdr:nvPicPr>
        <xdr:cNvPr id="4" name="图片 3" descr="邓志华"/>
        <xdr:cNvPicPr>
          <a:picLocks noChangeAspect="1"/>
        </xdr:cNvPicPr>
      </xdr:nvPicPr>
      <xdr:blipFill>
        <a:blip r:embed="rId3"/>
        <a:stretch>
          <a:fillRect/>
        </a:stretch>
      </xdr:blipFill>
      <xdr:spPr>
        <a:xfrm>
          <a:off x="2895600" y="9274175"/>
          <a:ext cx="753745" cy="433070"/>
        </a:xfrm>
        <a:prstGeom prst="rect">
          <a:avLst/>
        </a:prstGeom>
      </xdr:spPr>
    </xdr:pic>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490220</xdr:colOff>
      <xdr:row>36</xdr:row>
      <xdr:rowOff>175895</xdr:rowOff>
    </xdr:from>
    <xdr:to>
      <xdr:col>3</xdr:col>
      <xdr:colOff>66675</xdr:colOff>
      <xdr:row>36</xdr:row>
      <xdr:rowOff>565785</xdr:rowOff>
    </xdr:to>
    <xdr:pic>
      <xdr:nvPicPr>
        <xdr:cNvPr id="2" name="图片 1" descr="熊茂"/>
        <xdr:cNvPicPr>
          <a:picLocks noChangeAspect="1"/>
        </xdr:cNvPicPr>
      </xdr:nvPicPr>
      <xdr:blipFill>
        <a:blip r:embed="rId1"/>
        <a:stretch>
          <a:fillRect/>
        </a:stretch>
      </xdr:blipFill>
      <xdr:spPr>
        <a:xfrm>
          <a:off x="728345" y="9142095"/>
          <a:ext cx="633730" cy="389890"/>
        </a:xfrm>
        <a:prstGeom prst="rect">
          <a:avLst/>
        </a:prstGeom>
      </xdr:spPr>
    </xdr:pic>
    <xdr:clientData/>
  </xdr:twoCellAnchor>
  <xdr:twoCellAnchor editAs="oneCell">
    <xdr:from>
      <xdr:col>10</xdr:col>
      <xdr:colOff>114300</xdr:colOff>
      <xdr:row>36</xdr:row>
      <xdr:rowOff>142875</xdr:rowOff>
    </xdr:from>
    <xdr:to>
      <xdr:col>13</xdr:col>
      <xdr:colOff>151130</xdr:colOff>
      <xdr:row>36</xdr:row>
      <xdr:rowOff>588645</xdr:rowOff>
    </xdr:to>
    <xdr:pic>
      <xdr:nvPicPr>
        <xdr:cNvPr id="3" name="图片 2" descr="李炳强"/>
        <xdr:cNvPicPr>
          <a:picLocks noChangeAspect="1"/>
        </xdr:cNvPicPr>
      </xdr:nvPicPr>
      <xdr:blipFill>
        <a:blip r:embed="rId2"/>
        <a:stretch>
          <a:fillRect/>
        </a:stretch>
      </xdr:blipFill>
      <xdr:spPr>
        <a:xfrm>
          <a:off x="4848225" y="9109075"/>
          <a:ext cx="1217930" cy="445770"/>
        </a:xfrm>
        <a:prstGeom prst="rect">
          <a:avLst/>
        </a:prstGeom>
      </xdr:spPr>
    </xdr:pic>
    <xdr:clientData/>
  </xdr:twoCellAnchor>
  <xdr:twoCellAnchor editAs="oneCell">
    <xdr:from>
      <xdr:col>6</xdr:col>
      <xdr:colOff>104775</xdr:colOff>
      <xdr:row>36</xdr:row>
      <xdr:rowOff>142875</xdr:rowOff>
    </xdr:from>
    <xdr:to>
      <xdr:col>7</xdr:col>
      <xdr:colOff>381635</xdr:colOff>
      <xdr:row>36</xdr:row>
      <xdr:rowOff>575310</xdr:rowOff>
    </xdr:to>
    <xdr:pic>
      <xdr:nvPicPr>
        <xdr:cNvPr id="4" name="图片 3" descr="邓志华"/>
        <xdr:cNvPicPr>
          <a:picLocks noChangeAspect="1"/>
        </xdr:cNvPicPr>
      </xdr:nvPicPr>
      <xdr:blipFill>
        <a:blip r:embed="rId3"/>
        <a:stretch>
          <a:fillRect/>
        </a:stretch>
      </xdr:blipFill>
      <xdr:spPr>
        <a:xfrm>
          <a:off x="2895600" y="9109075"/>
          <a:ext cx="753110" cy="432435"/>
        </a:xfrm>
        <a:prstGeom prst="rect">
          <a:avLst/>
        </a:prstGeom>
      </xdr:spPr>
    </xdr:pic>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490220</xdr:colOff>
      <xdr:row>36</xdr:row>
      <xdr:rowOff>175895</xdr:rowOff>
    </xdr:from>
    <xdr:to>
      <xdr:col>3</xdr:col>
      <xdr:colOff>66040</xdr:colOff>
      <xdr:row>36</xdr:row>
      <xdr:rowOff>565150</xdr:rowOff>
    </xdr:to>
    <xdr:pic>
      <xdr:nvPicPr>
        <xdr:cNvPr id="2" name="图片 1" descr="熊茂"/>
        <xdr:cNvPicPr>
          <a:picLocks noChangeAspect="1"/>
        </xdr:cNvPicPr>
      </xdr:nvPicPr>
      <xdr:blipFill>
        <a:blip r:embed="rId1"/>
        <a:stretch>
          <a:fillRect/>
        </a:stretch>
      </xdr:blipFill>
      <xdr:spPr>
        <a:xfrm>
          <a:off x="728345" y="9142095"/>
          <a:ext cx="633095" cy="389255"/>
        </a:xfrm>
        <a:prstGeom prst="rect">
          <a:avLst/>
        </a:prstGeom>
      </xdr:spPr>
    </xdr:pic>
    <xdr:clientData/>
  </xdr:twoCellAnchor>
  <xdr:twoCellAnchor editAs="oneCell">
    <xdr:from>
      <xdr:col>10</xdr:col>
      <xdr:colOff>114300</xdr:colOff>
      <xdr:row>36</xdr:row>
      <xdr:rowOff>142875</xdr:rowOff>
    </xdr:from>
    <xdr:to>
      <xdr:col>13</xdr:col>
      <xdr:colOff>150495</xdr:colOff>
      <xdr:row>36</xdr:row>
      <xdr:rowOff>588010</xdr:rowOff>
    </xdr:to>
    <xdr:pic>
      <xdr:nvPicPr>
        <xdr:cNvPr id="3" name="图片 2" descr="李炳强"/>
        <xdr:cNvPicPr>
          <a:picLocks noChangeAspect="1"/>
        </xdr:cNvPicPr>
      </xdr:nvPicPr>
      <xdr:blipFill>
        <a:blip r:embed="rId2"/>
        <a:stretch>
          <a:fillRect/>
        </a:stretch>
      </xdr:blipFill>
      <xdr:spPr>
        <a:xfrm>
          <a:off x="4848225" y="9109075"/>
          <a:ext cx="1217295" cy="445135"/>
        </a:xfrm>
        <a:prstGeom prst="rect">
          <a:avLst/>
        </a:prstGeom>
      </xdr:spPr>
    </xdr:pic>
    <xdr:clientData/>
  </xdr:twoCellAnchor>
  <xdr:twoCellAnchor editAs="oneCell">
    <xdr:from>
      <xdr:col>6</xdr:col>
      <xdr:colOff>104775</xdr:colOff>
      <xdr:row>36</xdr:row>
      <xdr:rowOff>142875</xdr:rowOff>
    </xdr:from>
    <xdr:to>
      <xdr:col>7</xdr:col>
      <xdr:colOff>381000</xdr:colOff>
      <xdr:row>36</xdr:row>
      <xdr:rowOff>574675</xdr:rowOff>
    </xdr:to>
    <xdr:pic>
      <xdr:nvPicPr>
        <xdr:cNvPr id="4" name="图片 3" descr="邓志华"/>
        <xdr:cNvPicPr>
          <a:picLocks noChangeAspect="1"/>
        </xdr:cNvPicPr>
      </xdr:nvPicPr>
      <xdr:blipFill>
        <a:blip r:embed="rId3"/>
        <a:stretch>
          <a:fillRect/>
        </a:stretch>
      </xdr:blipFill>
      <xdr:spPr>
        <a:xfrm>
          <a:off x="2895600" y="9109075"/>
          <a:ext cx="752475" cy="4318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0852;&#25991;&#24658;&#22266;&#26368;&#26032;&#36164;&#26009;-20200119\&#36130;&#21153;&#31649;&#29702;\&#25910;&#25903;&#26126;&#32454;&#349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852;&#25991;&#24658;&#22266;&#26368;&#26032;&#36164;&#26009;-20200119\&#25215;&#25509;&#19994;&#21153;\&#19994;&#21153;&#30331;&#35760;&#34920;&#65288;&#26032;&#6528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36130;&#21153;&#31649;&#29702;\&#25910;&#25903;&#26126;&#32454;&#3492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25215;&#25509;&#19994;&#21153;\&#19994;&#21153;&#30331;&#35760;&#34920;&#65288;&#26032;&#65289;.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sheetData sheetId="1"/>
      <sheetData sheetId="2"/>
      <sheetData sheetId="3"/>
      <sheetData sheetId="4"/>
      <sheetData sheetId="5"/>
      <sheetData sheetId="6"/>
      <sheetData sheetId="7"/>
      <sheetData sheetId="8"/>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1000"/>
  <sheetViews>
    <sheetView workbookViewId="0">
      <selection activeCell="B11" sqref="B11"/>
    </sheetView>
  </sheetViews>
  <sheetFormatPr defaultColWidth="9" defaultRowHeight="13.5"/>
  <cols>
    <col min="1" max="1" width="9" style="95"/>
    <col min="2" max="2" width="43.125" style="95" customWidth="1"/>
    <col min="3" max="3" width="20.875" style="95" customWidth="1"/>
    <col min="4" max="5" width="17.125" style="95" customWidth="1"/>
    <col min="6" max="6" width="9" style="95"/>
    <col min="7" max="7" width="12.625" style="95"/>
    <col min="8" max="8" width="9" style="95"/>
    <col min="9" max="9" width="12.625" style="95"/>
    <col min="10" max="10" width="15.25" style="95" customWidth="1"/>
    <col min="11" max="16384" width="9" style="95"/>
  </cols>
  <sheetData>
    <row r="1" ht="30" customHeight="1" spans="1:11">
      <c r="A1" s="92" t="s">
        <v>0</v>
      </c>
      <c r="B1" s="92"/>
      <c r="C1" s="92"/>
      <c r="D1" s="92"/>
      <c r="E1" s="92"/>
      <c r="F1" s="92"/>
      <c r="G1" s="92"/>
      <c r="H1" s="92"/>
      <c r="I1" s="92"/>
      <c r="J1" s="92"/>
      <c r="K1" s="92"/>
    </row>
    <row r="2" s="92" customFormat="1" ht="28" customHeight="1" spans="1:11">
      <c r="A2" s="92" t="s">
        <v>1</v>
      </c>
      <c r="B2" s="92" t="s">
        <v>2</v>
      </c>
      <c r="C2" s="92" t="s">
        <v>3</v>
      </c>
      <c r="D2" s="92" t="s">
        <v>4</v>
      </c>
      <c r="E2" s="92" t="s">
        <v>5</v>
      </c>
      <c r="F2" s="92" t="s">
        <v>6</v>
      </c>
      <c r="G2" s="92" t="s">
        <v>7</v>
      </c>
      <c r="H2" s="92" t="s">
        <v>8</v>
      </c>
      <c r="I2" s="92" t="s">
        <v>9</v>
      </c>
      <c r="J2" s="92" t="s">
        <v>10</v>
      </c>
      <c r="K2" s="92" t="s">
        <v>11</v>
      </c>
    </row>
    <row r="3" ht="27" spans="1:10">
      <c r="A3" s="95" t="s">
        <v>12</v>
      </c>
      <c r="B3" s="95" t="s">
        <v>13</v>
      </c>
      <c r="C3" s="95" t="s">
        <v>14</v>
      </c>
      <c r="D3" s="95" t="s">
        <v>14</v>
      </c>
      <c r="E3" s="95" t="s">
        <v>15</v>
      </c>
      <c r="F3" s="104" t="s">
        <v>16</v>
      </c>
      <c r="G3" s="95">
        <v>18228131927</v>
      </c>
      <c r="H3" s="95" t="s">
        <v>17</v>
      </c>
      <c r="I3" s="95">
        <v>17323288028</v>
      </c>
      <c r="J3" s="95" t="str">
        <f t="shared" ref="J3:J10" si="0">IF(F3&lt;&gt;"——","有见证取样送检","委托送样检测")</f>
        <v>有见证取样送检</v>
      </c>
    </row>
    <row r="4" ht="27" spans="1:10">
      <c r="A4" s="95" t="s">
        <v>18</v>
      </c>
      <c r="B4" s="95" t="s">
        <v>19</v>
      </c>
      <c r="C4" s="95" t="s">
        <v>14</v>
      </c>
      <c r="D4" s="95" t="s">
        <v>14</v>
      </c>
      <c r="E4" s="105" t="s">
        <v>20</v>
      </c>
      <c r="F4" s="105" t="s">
        <v>21</v>
      </c>
      <c r="G4" s="105">
        <v>15884546766</v>
      </c>
      <c r="H4" s="105" t="s">
        <v>22</v>
      </c>
      <c r="I4" s="105">
        <v>18128131927</v>
      </c>
      <c r="J4" s="95" t="str">
        <f t="shared" si="0"/>
        <v>有见证取样送检</v>
      </c>
    </row>
    <row r="5" ht="27" spans="1:10">
      <c r="A5" s="95" t="s">
        <v>23</v>
      </c>
      <c r="B5" s="105" t="s">
        <v>24</v>
      </c>
      <c r="C5" s="95" t="s">
        <v>14</v>
      </c>
      <c r="D5" s="95" t="s">
        <v>14</v>
      </c>
      <c r="E5" s="105" t="s">
        <v>20</v>
      </c>
      <c r="F5" s="105" t="s">
        <v>21</v>
      </c>
      <c r="G5" s="105">
        <v>15884546766</v>
      </c>
      <c r="H5" s="105" t="s">
        <v>22</v>
      </c>
      <c r="I5" s="105">
        <v>18128131927</v>
      </c>
      <c r="J5" s="95" t="str">
        <f t="shared" si="0"/>
        <v>有见证取样送检</v>
      </c>
    </row>
    <row r="6" ht="27" spans="1:10">
      <c r="A6" s="95" t="s">
        <v>25</v>
      </c>
      <c r="B6" s="105" t="s">
        <v>26</v>
      </c>
      <c r="C6" s="95" t="s">
        <v>14</v>
      </c>
      <c r="D6" s="95" t="s">
        <v>14</v>
      </c>
      <c r="E6" s="105" t="s">
        <v>20</v>
      </c>
      <c r="F6" s="105" t="s">
        <v>21</v>
      </c>
      <c r="G6" s="105">
        <v>15884546766</v>
      </c>
      <c r="H6" s="105" t="s">
        <v>22</v>
      </c>
      <c r="I6" s="105">
        <v>18128131927</v>
      </c>
      <c r="J6" s="95" t="str">
        <f t="shared" si="0"/>
        <v>有见证取样送检</v>
      </c>
    </row>
    <row r="7" ht="27" spans="1:10">
      <c r="A7" s="95" t="s">
        <v>27</v>
      </c>
      <c r="B7" s="105" t="s">
        <v>28</v>
      </c>
      <c r="C7" s="95" t="s">
        <v>14</v>
      </c>
      <c r="D7" s="95" t="s">
        <v>14</v>
      </c>
      <c r="E7" s="105" t="s">
        <v>20</v>
      </c>
      <c r="F7" s="105" t="s">
        <v>21</v>
      </c>
      <c r="G7" s="105">
        <v>15884546766</v>
      </c>
      <c r="H7" s="105" t="s">
        <v>22</v>
      </c>
      <c r="I7" s="105">
        <v>18128131927</v>
      </c>
      <c r="J7" s="95" t="str">
        <f t="shared" si="0"/>
        <v>有见证取样送检</v>
      </c>
    </row>
    <row r="8" ht="74.25" spans="1:10">
      <c r="A8" s="95" t="s">
        <v>29</v>
      </c>
      <c r="B8" s="106" t="s">
        <v>30</v>
      </c>
      <c r="C8" s="95" t="s">
        <v>14</v>
      </c>
      <c r="D8" s="95" t="s">
        <v>14</v>
      </c>
      <c r="E8" s="105" t="s">
        <v>20</v>
      </c>
      <c r="F8" s="105" t="s">
        <v>21</v>
      </c>
      <c r="G8" s="105">
        <v>15884546766</v>
      </c>
      <c r="H8" s="105" t="s">
        <v>22</v>
      </c>
      <c r="I8" s="105">
        <v>18128131927</v>
      </c>
      <c r="J8" s="95" t="str">
        <f t="shared" si="0"/>
        <v>有见证取样送检</v>
      </c>
    </row>
    <row r="9" s="95" customFormat="1" ht="40.5" spans="1:10">
      <c r="A9" s="95" t="s">
        <v>31</v>
      </c>
      <c r="B9" s="95" t="s">
        <v>32</v>
      </c>
      <c r="C9" s="95" t="s">
        <v>33</v>
      </c>
      <c r="D9" s="95" t="s">
        <v>33</v>
      </c>
      <c r="E9" s="95" t="s">
        <v>34</v>
      </c>
      <c r="F9" s="95" t="s">
        <v>35</v>
      </c>
      <c r="G9" s="95">
        <v>15288669020</v>
      </c>
      <c r="H9" s="95" t="s">
        <v>36</v>
      </c>
      <c r="I9" s="108">
        <v>18182238027</v>
      </c>
      <c r="J9" s="95" t="str">
        <f t="shared" si="0"/>
        <v>有见证取样送检</v>
      </c>
    </row>
    <row r="10" ht="27" spans="1:11">
      <c r="A10" s="95" t="s">
        <v>37</v>
      </c>
      <c r="B10" s="96" t="s">
        <v>38</v>
      </c>
      <c r="C10" s="96" t="s">
        <v>39</v>
      </c>
      <c r="D10" s="96" t="s">
        <v>39</v>
      </c>
      <c r="E10" s="96" t="s">
        <v>40</v>
      </c>
      <c r="F10" s="96" t="s">
        <v>41</v>
      </c>
      <c r="G10" s="96">
        <v>13990939218</v>
      </c>
      <c r="H10" s="96" t="s">
        <v>42</v>
      </c>
      <c r="I10" s="96">
        <v>13730759689</v>
      </c>
      <c r="J10" s="95" t="str">
        <f t="shared" si="0"/>
        <v>有见证取样送检</v>
      </c>
      <c r="K10"/>
    </row>
    <row r="11" ht="27" spans="1:11">
      <c r="A11" s="95" t="s">
        <v>37</v>
      </c>
      <c r="B11" s="107" t="s">
        <v>43</v>
      </c>
      <c r="C11" s="107" t="s">
        <v>44</v>
      </c>
      <c r="D11" s="107" t="s">
        <v>44</v>
      </c>
      <c r="E11" s="107" t="s">
        <v>45</v>
      </c>
      <c r="F11" s="107" t="s">
        <v>45</v>
      </c>
      <c r="G11" s="107" t="s">
        <v>45</v>
      </c>
      <c r="H11" s="95" t="s">
        <v>46</v>
      </c>
      <c r="I11" s="107">
        <v>13890951229</v>
      </c>
      <c r="J11" s="107" t="s">
        <v>47</v>
      </c>
      <c r="K11"/>
    </row>
    <row r="12" spans="1:11">
      <c r="A12"/>
      <c r="B12"/>
      <c r="C12"/>
      <c r="D12"/>
      <c r="E12"/>
      <c r="F12"/>
      <c r="G12"/>
      <c r="H12"/>
      <c r="I12"/>
      <c r="J12"/>
      <c r="K12"/>
    </row>
    <row r="13" spans="1:11">
      <c r="A13"/>
      <c r="B13"/>
      <c r="C13"/>
      <c r="D13"/>
      <c r="E13"/>
      <c r="F13"/>
      <c r="G13"/>
      <c r="H13"/>
      <c r="I13"/>
      <c r="J13"/>
      <c r="K13"/>
    </row>
    <row r="14" spans="1:11">
      <c r="A14"/>
      <c r="B14"/>
      <c r="C14"/>
      <c r="D14"/>
      <c r="E14"/>
      <c r="F14"/>
      <c r="G14"/>
      <c r="H14"/>
      <c r="I14"/>
      <c r="J14"/>
      <c r="K14"/>
    </row>
    <row r="15" spans="1:11">
      <c r="A15"/>
      <c r="B15"/>
      <c r="C15"/>
      <c r="D15"/>
      <c r="E15"/>
      <c r="F15"/>
      <c r="G15"/>
      <c r="H15"/>
      <c r="I15"/>
      <c r="J15"/>
      <c r="K15"/>
    </row>
    <row r="16" spans="1:11">
      <c r="A16"/>
      <c r="B16"/>
      <c r="C16"/>
      <c r="D16"/>
      <c r="E16"/>
      <c r="F16"/>
      <c r="G16"/>
      <c r="H16"/>
      <c r="I16"/>
      <c r="J16"/>
      <c r="K16"/>
    </row>
    <row r="17" spans="1:11">
      <c r="A17"/>
      <c r="B17"/>
      <c r="C17"/>
      <c r="D17"/>
      <c r="E17"/>
      <c r="F17"/>
      <c r="G17"/>
      <c r="H17"/>
      <c r="I17"/>
      <c r="J17"/>
      <c r="K17"/>
    </row>
    <row r="18" spans="1:11">
      <c r="A18"/>
      <c r="B18"/>
      <c r="C18"/>
      <c r="D18"/>
      <c r="E18"/>
      <c r="F18"/>
      <c r="G18"/>
      <c r="H18"/>
      <c r="I18"/>
      <c r="J18"/>
      <c r="K18"/>
    </row>
    <row r="19" spans="1:11">
      <c r="A19"/>
      <c r="B19"/>
      <c r="C19"/>
      <c r="D19"/>
      <c r="E19"/>
      <c r="F19"/>
      <c r="G19"/>
      <c r="H19"/>
      <c r="I19"/>
      <c r="J19"/>
      <c r="K19"/>
    </row>
    <row r="20" spans="1:11">
      <c r="A20"/>
      <c r="B20"/>
      <c r="C20"/>
      <c r="D20"/>
      <c r="E20"/>
      <c r="F20"/>
      <c r="G20"/>
      <c r="H20"/>
      <c r="I20"/>
      <c r="J20"/>
      <c r="K20"/>
    </row>
    <row r="21" spans="1:11">
      <c r="A21"/>
      <c r="B21"/>
      <c r="C21"/>
      <c r="D21"/>
      <c r="E21"/>
      <c r="F21"/>
      <c r="G21"/>
      <c r="H21"/>
      <c r="I21"/>
      <c r="J21"/>
      <c r="K21"/>
    </row>
    <row r="22" spans="1:11">
      <c r="A22"/>
      <c r="B22"/>
      <c r="C22"/>
      <c r="D22"/>
      <c r="E22"/>
      <c r="F22"/>
      <c r="G22"/>
      <c r="H22"/>
      <c r="I22"/>
      <c r="J22"/>
      <c r="K22"/>
    </row>
    <row r="23" spans="1:11">
      <c r="A23"/>
      <c r="B23"/>
      <c r="C23"/>
      <c r="D23"/>
      <c r="E23"/>
      <c r="F23"/>
      <c r="G23"/>
      <c r="H23"/>
      <c r="I23"/>
      <c r="J23"/>
      <c r="K23"/>
    </row>
    <row r="24" spans="1:11">
      <c r="A24"/>
      <c r="B24"/>
      <c r="C24"/>
      <c r="D24"/>
      <c r="E24"/>
      <c r="F24"/>
      <c r="G24"/>
      <c r="H24"/>
      <c r="I24"/>
      <c r="J24"/>
      <c r="K24"/>
    </row>
    <row r="25" spans="1:11">
      <c r="A25"/>
      <c r="B25"/>
      <c r="C25"/>
      <c r="D25"/>
      <c r="E25"/>
      <c r="F25"/>
      <c r="G25"/>
      <c r="H25"/>
      <c r="I25"/>
      <c r="J25"/>
      <c r="K25"/>
    </row>
    <row r="26" spans="1:11">
      <c r="A26"/>
      <c r="B26"/>
      <c r="C26"/>
      <c r="D26"/>
      <c r="E26"/>
      <c r="F26"/>
      <c r="G26"/>
      <c r="H26"/>
      <c r="I26"/>
      <c r="J26"/>
      <c r="K26"/>
    </row>
    <row r="27" spans="1:11">
      <c r="A27"/>
      <c r="B27"/>
      <c r="C27"/>
      <c r="D27"/>
      <c r="E27"/>
      <c r="F27"/>
      <c r="G27"/>
      <c r="H27"/>
      <c r="I27"/>
      <c r="J27"/>
      <c r="K27"/>
    </row>
    <row r="28" spans="1:11">
      <c r="A28"/>
      <c r="B28"/>
      <c r="C28"/>
      <c r="D28"/>
      <c r="E28"/>
      <c r="F28"/>
      <c r="G28"/>
      <c r="H28"/>
      <c r="I28"/>
      <c r="J28"/>
      <c r="K28"/>
    </row>
    <row r="29" spans="1:11">
      <c r="A29"/>
      <c r="B29"/>
      <c r="C29"/>
      <c r="D29"/>
      <c r="E29"/>
      <c r="F29"/>
      <c r="G29"/>
      <c r="H29"/>
      <c r="I29"/>
      <c r="J29"/>
      <c r="K29"/>
    </row>
    <row r="30" spans="1:11">
      <c r="A30"/>
      <c r="B30"/>
      <c r="C30"/>
      <c r="D30"/>
      <c r="E30"/>
      <c r="F30"/>
      <c r="G30"/>
      <c r="H30"/>
      <c r="I30"/>
      <c r="J30"/>
      <c r="K30"/>
    </row>
    <row r="31" spans="1:11">
      <c r="A31"/>
      <c r="B31"/>
      <c r="C31"/>
      <c r="D31"/>
      <c r="E31"/>
      <c r="F31"/>
      <c r="G31"/>
      <c r="H31"/>
      <c r="I31"/>
      <c r="J31"/>
      <c r="K31"/>
    </row>
    <row r="32" spans="1:11">
      <c r="A32"/>
      <c r="B32"/>
      <c r="C32"/>
      <c r="D32"/>
      <c r="E32"/>
      <c r="F32"/>
      <c r="G32"/>
      <c r="H32"/>
      <c r="I32"/>
      <c r="J32"/>
      <c r="K32"/>
    </row>
    <row r="33" spans="1:11">
      <c r="A33"/>
      <c r="B33"/>
      <c r="C33"/>
      <c r="D33"/>
      <c r="E33"/>
      <c r="F33"/>
      <c r="G33"/>
      <c r="H33"/>
      <c r="I33"/>
      <c r="J33"/>
      <c r="K33"/>
    </row>
    <row r="34" spans="1:11">
      <c r="A34"/>
      <c r="B34"/>
      <c r="C34"/>
      <c r="D34"/>
      <c r="E34"/>
      <c r="F34"/>
      <c r="G34"/>
      <c r="H34"/>
      <c r="I34"/>
      <c r="J34"/>
      <c r="K34"/>
    </row>
    <row r="35" spans="1:11">
      <c r="A35"/>
      <c r="B35"/>
      <c r="C35"/>
      <c r="D35"/>
      <c r="E35"/>
      <c r="F35"/>
      <c r="G35"/>
      <c r="H35"/>
      <c r="I35"/>
      <c r="J35"/>
      <c r="K35"/>
    </row>
    <row r="36" spans="1:11">
      <c r="A36"/>
      <c r="B36"/>
      <c r="C36"/>
      <c r="D36"/>
      <c r="E36"/>
      <c r="F36"/>
      <c r="G36"/>
      <c r="H36"/>
      <c r="I36"/>
      <c r="J36"/>
      <c r="K36"/>
    </row>
    <row r="37" spans="1:11">
      <c r="A37"/>
      <c r="B37"/>
      <c r="C37"/>
      <c r="D37"/>
      <c r="E37"/>
      <c r="F37"/>
      <c r="G37"/>
      <c r="H37"/>
      <c r="I37"/>
      <c r="J37"/>
      <c r="K37"/>
    </row>
    <row r="38" spans="1:11">
      <c r="A38"/>
      <c r="B38"/>
      <c r="C38"/>
      <c r="D38"/>
      <c r="E38"/>
      <c r="F38"/>
      <c r="G38"/>
      <c r="H38"/>
      <c r="I38"/>
      <c r="J38"/>
      <c r="K38"/>
    </row>
    <row r="39" spans="1:11">
      <c r="A39"/>
      <c r="B39"/>
      <c r="C39"/>
      <c r="D39"/>
      <c r="E39"/>
      <c r="F39"/>
      <c r="G39"/>
      <c r="H39"/>
      <c r="I39"/>
      <c r="J39"/>
      <c r="K39"/>
    </row>
    <row r="40" spans="1:11">
      <c r="A40"/>
      <c r="B40"/>
      <c r="C40"/>
      <c r="D40"/>
      <c r="E40"/>
      <c r="F40"/>
      <c r="G40"/>
      <c r="H40"/>
      <c r="I40"/>
      <c r="J40"/>
      <c r="K40"/>
    </row>
    <row r="41" spans="1:11">
      <c r="A41"/>
      <c r="B41"/>
      <c r="C41"/>
      <c r="D41"/>
      <c r="E41"/>
      <c r="F41"/>
      <c r="G41"/>
      <c r="H41"/>
      <c r="I41"/>
      <c r="J41"/>
      <c r="K41"/>
    </row>
    <row r="42" spans="1:11">
      <c r="A42"/>
      <c r="B42"/>
      <c r="C42"/>
      <c r="D42"/>
      <c r="E42"/>
      <c r="F42"/>
      <c r="G42"/>
      <c r="H42"/>
      <c r="I42"/>
      <c r="J42"/>
      <c r="K42"/>
    </row>
    <row r="43" spans="1:11">
      <c r="A43"/>
      <c r="B43"/>
      <c r="C43"/>
      <c r="D43"/>
      <c r="E43"/>
      <c r="F43"/>
      <c r="G43"/>
      <c r="H43"/>
      <c r="I43"/>
      <c r="J43"/>
      <c r="K43"/>
    </row>
    <row r="44" spans="1:11">
      <c r="A44"/>
      <c r="B44"/>
      <c r="C44"/>
      <c r="D44"/>
      <c r="E44"/>
      <c r="F44"/>
      <c r="G44"/>
      <c r="H44"/>
      <c r="I44"/>
      <c r="J44"/>
      <c r="K44"/>
    </row>
    <row r="45" spans="1:11">
      <c r="A45"/>
      <c r="B45"/>
      <c r="C45"/>
      <c r="D45"/>
      <c r="E45"/>
      <c r="F45"/>
      <c r="G45"/>
      <c r="H45"/>
      <c r="I45"/>
      <c r="J45"/>
      <c r="K45"/>
    </row>
    <row r="46" spans="1:11">
      <c r="A46"/>
      <c r="B46"/>
      <c r="C46"/>
      <c r="D46"/>
      <c r="E46"/>
      <c r="F46"/>
      <c r="G46"/>
      <c r="H46"/>
      <c r="I46"/>
      <c r="J46"/>
      <c r="K46"/>
    </row>
    <row r="47" spans="1:11">
      <c r="A47"/>
      <c r="B47"/>
      <c r="C47"/>
      <c r="D47"/>
      <c r="E47"/>
      <c r="F47"/>
      <c r="G47"/>
      <c r="H47"/>
      <c r="I47"/>
      <c r="J47"/>
      <c r="K47"/>
    </row>
    <row r="48" spans="1:11">
      <c r="A48"/>
      <c r="B48"/>
      <c r="C48"/>
      <c r="D48"/>
      <c r="E48"/>
      <c r="F48"/>
      <c r="G48"/>
      <c r="H48"/>
      <c r="I48"/>
      <c r="J48"/>
      <c r="K48"/>
    </row>
    <row r="49" spans="1:11">
      <c r="A49"/>
      <c r="B49"/>
      <c r="C49"/>
      <c r="D49"/>
      <c r="E49"/>
      <c r="F49"/>
      <c r="G49"/>
      <c r="H49"/>
      <c r="I49"/>
      <c r="J49"/>
      <c r="K49"/>
    </row>
    <row r="50" spans="1:11">
      <c r="A50"/>
      <c r="B50"/>
      <c r="C50"/>
      <c r="D50"/>
      <c r="E50"/>
      <c r="F50"/>
      <c r="G50"/>
      <c r="H50"/>
      <c r="I50"/>
      <c r="J50"/>
      <c r="K50"/>
    </row>
    <row r="51" spans="1:11">
      <c r="A51"/>
      <c r="B51"/>
      <c r="C51"/>
      <c r="D51"/>
      <c r="E51"/>
      <c r="F51"/>
      <c r="G51"/>
      <c r="H51"/>
      <c r="I51"/>
      <c r="J51"/>
      <c r="K51"/>
    </row>
    <row r="52" spans="1:11">
      <c r="A52"/>
      <c r="B52"/>
      <c r="C52"/>
      <c r="D52"/>
      <c r="E52"/>
      <c r="F52"/>
      <c r="G52"/>
      <c r="H52"/>
      <c r="I52"/>
      <c r="J52"/>
      <c r="K52"/>
    </row>
    <row r="53" spans="1:11">
      <c r="A53"/>
      <c r="B53"/>
      <c r="C53"/>
      <c r="D53"/>
      <c r="E53"/>
      <c r="F53"/>
      <c r="G53"/>
      <c r="H53"/>
      <c r="I53"/>
      <c r="J53"/>
      <c r="K53"/>
    </row>
    <row r="54" spans="1:11">
      <c r="A54"/>
      <c r="B54"/>
      <c r="C54"/>
      <c r="D54"/>
      <c r="E54"/>
      <c r="F54"/>
      <c r="G54"/>
      <c r="H54"/>
      <c r="I54"/>
      <c r="J54"/>
      <c r="K54"/>
    </row>
    <row r="55" spans="1:11">
      <c r="A55"/>
      <c r="B55"/>
      <c r="C55"/>
      <c r="D55"/>
      <c r="E55"/>
      <c r="F55"/>
      <c r="G55"/>
      <c r="H55"/>
      <c r="I55"/>
      <c r="J55"/>
      <c r="K55"/>
    </row>
    <row r="56" spans="1:11">
      <c r="A56"/>
      <c r="B56"/>
      <c r="C56"/>
      <c r="D56"/>
      <c r="E56"/>
      <c r="F56"/>
      <c r="G56"/>
      <c r="H56"/>
      <c r="I56"/>
      <c r="J56"/>
      <c r="K56"/>
    </row>
    <row r="57" spans="1:11">
      <c r="A57"/>
      <c r="B57"/>
      <c r="C57"/>
      <c r="D57"/>
      <c r="E57"/>
      <c r="F57"/>
      <c r="G57"/>
      <c r="H57"/>
      <c r="I57"/>
      <c r="J57"/>
      <c r="K57"/>
    </row>
    <row r="58" spans="1:11">
      <c r="A58"/>
      <c r="B58"/>
      <c r="C58"/>
      <c r="D58"/>
      <c r="E58"/>
      <c r="F58"/>
      <c r="G58"/>
      <c r="H58"/>
      <c r="I58"/>
      <c r="J58"/>
      <c r="K58"/>
    </row>
    <row r="59" spans="1:11">
      <c r="A59"/>
      <c r="B59"/>
      <c r="C59"/>
      <c r="D59"/>
      <c r="E59"/>
      <c r="F59"/>
      <c r="G59"/>
      <c r="H59"/>
      <c r="I59"/>
      <c r="J59"/>
      <c r="K59"/>
    </row>
    <row r="60" spans="1:11">
      <c r="A60"/>
      <c r="B60"/>
      <c r="C60"/>
      <c r="D60"/>
      <c r="E60"/>
      <c r="F60"/>
      <c r="G60"/>
      <c r="H60"/>
      <c r="I60"/>
      <c r="J60"/>
      <c r="K60"/>
    </row>
    <row r="61" spans="1:11">
      <c r="A61"/>
      <c r="B61"/>
      <c r="C61"/>
      <c r="D61"/>
      <c r="E61"/>
      <c r="F61"/>
      <c r="G61"/>
      <c r="H61"/>
      <c r="I61"/>
      <c r="J61"/>
      <c r="K61"/>
    </row>
    <row r="62" spans="1:11">
      <c r="A62"/>
      <c r="B62"/>
      <c r="C62"/>
      <c r="D62"/>
      <c r="E62"/>
      <c r="F62"/>
      <c r="G62"/>
      <c r="H62"/>
      <c r="I62"/>
      <c r="J62"/>
      <c r="K62"/>
    </row>
    <row r="63" spans="1:11">
      <c r="A63"/>
      <c r="B63"/>
      <c r="C63"/>
      <c r="D63"/>
      <c r="E63"/>
      <c r="F63"/>
      <c r="G63"/>
      <c r="H63"/>
      <c r="I63"/>
      <c r="J63"/>
      <c r="K63"/>
    </row>
    <row r="64" spans="1:11">
      <c r="A64"/>
      <c r="B64"/>
      <c r="C64"/>
      <c r="D64"/>
      <c r="E64"/>
      <c r="F64"/>
      <c r="G64"/>
      <c r="H64"/>
      <c r="I64"/>
      <c r="J64"/>
      <c r="K64"/>
    </row>
    <row r="65" spans="1:11">
      <c r="A65"/>
      <c r="B65"/>
      <c r="C65"/>
      <c r="D65"/>
      <c r="E65"/>
      <c r="F65"/>
      <c r="G65"/>
      <c r="H65"/>
      <c r="I65"/>
      <c r="J65"/>
      <c r="K65"/>
    </row>
    <row r="66" spans="1:11">
      <c r="A66"/>
      <c r="B66"/>
      <c r="C66"/>
      <c r="D66"/>
      <c r="E66"/>
      <c r="F66"/>
      <c r="G66"/>
      <c r="H66"/>
      <c r="I66"/>
      <c r="J66"/>
      <c r="K66"/>
    </row>
    <row r="67" spans="1:11">
      <c r="A67"/>
      <c r="B67"/>
      <c r="C67"/>
      <c r="D67"/>
      <c r="E67"/>
      <c r="F67"/>
      <c r="G67"/>
      <c r="H67"/>
      <c r="I67"/>
      <c r="J67"/>
      <c r="K67"/>
    </row>
    <row r="68" spans="1:11">
      <c r="A68"/>
      <c r="B68"/>
      <c r="C68"/>
      <c r="D68"/>
      <c r="E68"/>
      <c r="F68"/>
      <c r="G68"/>
      <c r="H68"/>
      <c r="I68"/>
      <c r="J68"/>
      <c r="K68"/>
    </row>
    <row r="69" spans="1:11">
      <c r="A69"/>
      <c r="B69"/>
      <c r="C69"/>
      <c r="D69"/>
      <c r="E69"/>
      <c r="F69"/>
      <c r="G69"/>
      <c r="H69"/>
      <c r="I69"/>
      <c r="J69"/>
      <c r="K69"/>
    </row>
    <row r="70" spans="1:11">
      <c r="A70"/>
      <c r="B70"/>
      <c r="C70"/>
      <c r="D70"/>
      <c r="E70"/>
      <c r="F70"/>
      <c r="G70"/>
      <c r="H70"/>
      <c r="I70"/>
      <c r="J70"/>
      <c r="K70"/>
    </row>
    <row r="71" spans="1:11">
      <c r="A71"/>
      <c r="B71"/>
      <c r="C71"/>
      <c r="D71"/>
      <c r="E71"/>
      <c r="F71"/>
      <c r="G71"/>
      <c r="H71"/>
      <c r="I71"/>
      <c r="J71"/>
      <c r="K71"/>
    </row>
    <row r="72" spans="1:11">
      <c r="A72"/>
      <c r="B72"/>
      <c r="C72"/>
      <c r="D72"/>
      <c r="E72"/>
      <c r="F72"/>
      <c r="G72"/>
      <c r="H72"/>
      <c r="I72"/>
      <c r="J72"/>
      <c r="K72"/>
    </row>
    <row r="73" spans="1:11">
      <c r="A73"/>
      <c r="B73"/>
      <c r="C73"/>
      <c r="D73"/>
      <c r="E73"/>
      <c r="F73"/>
      <c r="G73"/>
      <c r="H73"/>
      <c r="I73"/>
      <c r="J73"/>
      <c r="K73"/>
    </row>
    <row r="74" spans="1:11">
      <c r="A74"/>
      <c r="B74"/>
      <c r="C74"/>
      <c r="D74"/>
      <c r="E74"/>
      <c r="F74"/>
      <c r="G74"/>
      <c r="H74"/>
      <c r="I74"/>
      <c r="J74"/>
      <c r="K74"/>
    </row>
    <row r="75" spans="1:11">
      <c r="A75"/>
      <c r="B75"/>
      <c r="C75"/>
      <c r="D75"/>
      <c r="E75"/>
      <c r="F75"/>
      <c r="G75"/>
      <c r="H75"/>
      <c r="I75"/>
      <c r="J75"/>
      <c r="K75"/>
    </row>
    <row r="76" spans="1:11">
      <c r="A76"/>
      <c r="B76"/>
      <c r="C76"/>
      <c r="D76"/>
      <c r="E76"/>
      <c r="F76"/>
      <c r="G76"/>
      <c r="H76"/>
      <c r="I76"/>
      <c r="J76"/>
      <c r="K76"/>
    </row>
    <row r="77" spans="1:11">
      <c r="A77"/>
      <c r="B77"/>
      <c r="C77"/>
      <c r="D77"/>
      <c r="E77"/>
      <c r="F77"/>
      <c r="G77"/>
      <c r="H77"/>
      <c r="I77"/>
      <c r="J77"/>
      <c r="K77"/>
    </row>
    <row r="78" spans="1:11">
      <c r="A78"/>
      <c r="B78"/>
      <c r="C78"/>
      <c r="D78"/>
      <c r="E78"/>
      <c r="F78"/>
      <c r="G78"/>
      <c r="H78"/>
      <c r="I78"/>
      <c r="J78"/>
      <c r="K78"/>
    </row>
    <row r="79" spans="1:11">
      <c r="A79"/>
      <c r="B79"/>
      <c r="C79"/>
      <c r="D79"/>
      <c r="E79"/>
      <c r="F79"/>
      <c r="G79"/>
      <c r="H79"/>
      <c r="I79"/>
      <c r="J79"/>
      <c r="K79"/>
    </row>
    <row r="80" spans="1:11">
      <c r="A80"/>
      <c r="B80"/>
      <c r="C80"/>
      <c r="D80"/>
      <c r="E80"/>
      <c r="F80"/>
      <c r="G80"/>
      <c r="H80"/>
      <c r="I80"/>
      <c r="J80"/>
      <c r="K80"/>
    </row>
    <row r="81" spans="1:11">
      <c r="A81"/>
      <c r="B81"/>
      <c r="C81"/>
      <c r="D81"/>
      <c r="E81"/>
      <c r="F81"/>
      <c r="G81"/>
      <c r="H81"/>
      <c r="I81"/>
      <c r="J81"/>
      <c r="K81"/>
    </row>
    <row r="82" spans="1:11">
      <c r="A82"/>
      <c r="B82"/>
      <c r="C82"/>
      <c r="D82"/>
      <c r="E82"/>
      <c r="F82"/>
      <c r="G82"/>
      <c r="H82"/>
      <c r="I82"/>
      <c r="J82"/>
      <c r="K82"/>
    </row>
    <row r="83" spans="1:11">
      <c r="A83"/>
      <c r="B83"/>
      <c r="C83"/>
      <c r="D83"/>
      <c r="E83"/>
      <c r="F83"/>
      <c r="G83"/>
      <c r="H83"/>
      <c r="I83"/>
      <c r="J83"/>
      <c r="K83"/>
    </row>
    <row r="84" spans="1:11">
      <c r="A84"/>
      <c r="B84"/>
      <c r="C84"/>
      <c r="D84"/>
      <c r="E84"/>
      <c r="F84"/>
      <c r="G84"/>
      <c r="H84"/>
      <c r="I84"/>
      <c r="J84"/>
      <c r="K84"/>
    </row>
    <row r="85" spans="1:11">
      <c r="A85"/>
      <c r="B85"/>
      <c r="C85"/>
      <c r="D85"/>
      <c r="E85"/>
      <c r="F85"/>
      <c r="G85"/>
      <c r="H85"/>
      <c r="I85"/>
      <c r="J85"/>
      <c r="K85"/>
    </row>
    <row r="86" spans="1:11">
      <c r="A86"/>
      <c r="B86"/>
      <c r="C86"/>
      <c r="D86"/>
      <c r="E86"/>
      <c r="F86"/>
      <c r="G86"/>
      <c r="H86"/>
      <c r="I86"/>
      <c r="J86"/>
      <c r="K86"/>
    </row>
    <row r="87" spans="1:11">
      <c r="A87"/>
      <c r="B87"/>
      <c r="C87"/>
      <c r="D87"/>
      <c r="E87"/>
      <c r="F87"/>
      <c r="G87"/>
      <c r="H87"/>
      <c r="I87"/>
      <c r="J87"/>
      <c r="K87"/>
    </row>
    <row r="88" spans="1:11">
      <c r="A88"/>
      <c r="B88"/>
      <c r="C88"/>
      <c r="D88"/>
      <c r="E88"/>
      <c r="F88"/>
      <c r="G88"/>
      <c r="H88"/>
      <c r="I88"/>
      <c r="J88"/>
      <c r="K88"/>
    </row>
    <row r="89" spans="1:11">
      <c r="A89"/>
      <c r="B89"/>
      <c r="C89"/>
      <c r="D89"/>
      <c r="E89"/>
      <c r="F89"/>
      <c r="G89"/>
      <c r="H89"/>
      <c r="I89"/>
      <c r="J89"/>
      <c r="K89"/>
    </row>
    <row r="90" spans="1:11">
      <c r="A90"/>
      <c r="B90"/>
      <c r="C90"/>
      <c r="D90"/>
      <c r="E90"/>
      <c r="F90"/>
      <c r="G90"/>
      <c r="H90"/>
      <c r="I90"/>
      <c r="J90"/>
      <c r="K90"/>
    </row>
    <row r="91" spans="1:11">
      <c r="A91"/>
      <c r="B91"/>
      <c r="C91"/>
      <c r="D91"/>
      <c r="E91"/>
      <c r="F91"/>
      <c r="G91"/>
      <c r="H91"/>
      <c r="I91"/>
      <c r="J91"/>
      <c r="K91"/>
    </row>
    <row r="92" spans="1:11">
      <c r="A92"/>
      <c r="B92"/>
      <c r="C92"/>
      <c r="D92"/>
      <c r="E92"/>
      <c r="F92"/>
      <c r="G92"/>
      <c r="H92"/>
      <c r="I92"/>
      <c r="J92"/>
      <c r="K92"/>
    </row>
    <row r="93" spans="1:11">
      <c r="A93"/>
      <c r="B93"/>
      <c r="C93"/>
      <c r="D93"/>
      <c r="E93"/>
      <c r="F93"/>
      <c r="G93"/>
      <c r="H93"/>
      <c r="I93"/>
      <c r="J93"/>
      <c r="K93"/>
    </row>
    <row r="94" spans="1:11">
      <c r="A94"/>
      <c r="B94"/>
      <c r="C94"/>
      <c r="D94"/>
      <c r="E94"/>
      <c r="F94"/>
      <c r="G94"/>
      <c r="H94"/>
      <c r="I94"/>
      <c r="J94"/>
      <c r="K94"/>
    </row>
    <row r="95" spans="1:11">
      <c r="A95"/>
      <c r="B95"/>
      <c r="C95"/>
      <c r="D95"/>
      <c r="E95"/>
      <c r="F95"/>
      <c r="G95"/>
      <c r="H95"/>
      <c r="I95"/>
      <c r="J95"/>
      <c r="K95"/>
    </row>
    <row r="96" spans="1:11">
      <c r="A96"/>
      <c r="B96"/>
      <c r="C96"/>
      <c r="D96"/>
      <c r="E96"/>
      <c r="F96"/>
      <c r="G96"/>
      <c r="H96"/>
      <c r="I96"/>
      <c r="J96"/>
      <c r="K96"/>
    </row>
    <row r="97" spans="1:11">
      <c r="A97"/>
      <c r="B97"/>
      <c r="C97"/>
      <c r="D97"/>
      <c r="E97"/>
      <c r="F97"/>
      <c r="G97"/>
      <c r="H97"/>
      <c r="I97"/>
      <c r="J97"/>
      <c r="K97"/>
    </row>
    <row r="98" spans="1:11">
      <c r="A98"/>
      <c r="B98"/>
      <c r="C98"/>
      <c r="D98"/>
      <c r="E98"/>
      <c r="F98"/>
      <c r="G98"/>
      <c r="H98"/>
      <c r="I98"/>
      <c r="J98"/>
      <c r="K98"/>
    </row>
    <row r="99" spans="1:11">
      <c r="A99"/>
      <c r="B99"/>
      <c r="C99"/>
      <c r="D99"/>
      <c r="E99"/>
      <c r="F99"/>
      <c r="G99"/>
      <c r="H99"/>
      <c r="I99"/>
      <c r="J99"/>
      <c r="K99"/>
    </row>
    <row r="100" spans="1:11">
      <c r="A100"/>
      <c r="B100"/>
      <c r="C100"/>
      <c r="D100"/>
      <c r="E100"/>
      <c r="F100"/>
      <c r="G100"/>
      <c r="H100"/>
      <c r="I100"/>
      <c r="J100"/>
      <c r="K100"/>
    </row>
    <row r="101" spans="1:11">
      <c r="A101"/>
      <c r="B101"/>
      <c r="C101"/>
      <c r="D101"/>
      <c r="E101"/>
      <c r="F101"/>
      <c r="G101"/>
      <c r="H101"/>
      <c r="I101"/>
      <c r="J101"/>
      <c r="K101"/>
    </row>
    <row r="102" spans="1:11">
      <c r="A102"/>
      <c r="B102"/>
      <c r="C102"/>
      <c r="D102"/>
      <c r="E102"/>
      <c r="F102"/>
      <c r="G102"/>
      <c r="H102"/>
      <c r="I102"/>
      <c r="J102"/>
      <c r="K102"/>
    </row>
    <row r="103" spans="1:11">
      <c r="A103"/>
      <c r="B103"/>
      <c r="C103"/>
      <c r="D103"/>
      <c r="E103"/>
      <c r="F103"/>
      <c r="G103"/>
      <c r="H103"/>
      <c r="I103"/>
      <c r="J103"/>
      <c r="K103"/>
    </row>
    <row r="104" spans="1:11">
      <c r="A104"/>
      <c r="B104"/>
      <c r="C104"/>
      <c r="D104"/>
      <c r="E104"/>
      <c r="F104"/>
      <c r="G104"/>
      <c r="H104"/>
      <c r="I104"/>
      <c r="J104"/>
      <c r="K104"/>
    </row>
    <row r="105" spans="1:11">
      <c r="A105"/>
      <c r="B105"/>
      <c r="C105"/>
      <c r="D105"/>
      <c r="E105"/>
      <c r="F105"/>
      <c r="G105"/>
      <c r="H105"/>
      <c r="I105"/>
      <c r="J105"/>
      <c r="K105"/>
    </row>
    <row r="106" spans="1:11">
      <c r="A106"/>
      <c r="B106"/>
      <c r="C106"/>
      <c r="D106"/>
      <c r="E106"/>
      <c r="F106"/>
      <c r="G106"/>
      <c r="H106"/>
      <c r="I106"/>
      <c r="J106"/>
      <c r="K106"/>
    </row>
    <row r="107" spans="1:11">
      <c r="A107"/>
      <c r="B107"/>
      <c r="C107"/>
      <c r="D107"/>
      <c r="E107"/>
      <c r="F107"/>
      <c r="G107"/>
      <c r="H107"/>
      <c r="I107"/>
      <c r="J107"/>
      <c r="K107"/>
    </row>
    <row r="108" spans="1:11">
      <c r="A108"/>
      <c r="B108"/>
      <c r="C108"/>
      <c r="D108"/>
      <c r="E108"/>
      <c r="F108"/>
      <c r="G108"/>
      <c r="H108"/>
      <c r="I108"/>
      <c r="J108"/>
      <c r="K108"/>
    </row>
    <row r="109" spans="1:11">
      <c r="A109"/>
      <c r="B109"/>
      <c r="C109"/>
      <c r="D109"/>
      <c r="E109"/>
      <c r="F109"/>
      <c r="G109"/>
      <c r="H109"/>
      <c r="I109"/>
      <c r="J109"/>
      <c r="K109"/>
    </row>
    <row r="110" spans="1:11">
      <c r="A110"/>
      <c r="B110"/>
      <c r="C110"/>
      <c r="D110"/>
      <c r="E110"/>
      <c r="F110"/>
      <c r="G110"/>
      <c r="H110"/>
      <c r="I110"/>
      <c r="J110"/>
      <c r="K110"/>
    </row>
    <row r="111" spans="1:11">
      <c r="A111"/>
      <c r="B111"/>
      <c r="C111"/>
      <c r="D111"/>
      <c r="E111"/>
      <c r="F111"/>
      <c r="G111"/>
      <c r="H111"/>
      <c r="I111"/>
      <c r="J111"/>
      <c r="K111"/>
    </row>
    <row r="112" spans="1:11">
      <c r="A112"/>
      <c r="B112"/>
      <c r="C112"/>
      <c r="D112"/>
      <c r="E112"/>
      <c r="F112"/>
      <c r="G112"/>
      <c r="H112"/>
      <c r="I112"/>
      <c r="J112"/>
      <c r="K112"/>
    </row>
    <row r="113" spans="1:11">
      <c r="A113"/>
      <c r="B113"/>
      <c r="C113"/>
      <c r="D113"/>
      <c r="E113"/>
      <c r="F113"/>
      <c r="G113"/>
      <c r="H113"/>
      <c r="I113"/>
      <c r="J113"/>
      <c r="K113"/>
    </row>
    <row r="114" spans="1:11">
      <c r="A114"/>
      <c r="B114"/>
      <c r="C114"/>
      <c r="D114"/>
      <c r="E114"/>
      <c r="F114"/>
      <c r="G114"/>
      <c r="H114"/>
      <c r="I114"/>
      <c r="J114"/>
      <c r="K114"/>
    </row>
    <row r="115" spans="1:11">
      <c r="A115"/>
      <c r="B115"/>
      <c r="C115"/>
      <c r="D115"/>
      <c r="E115"/>
      <c r="F115"/>
      <c r="G115"/>
      <c r="H115"/>
      <c r="I115"/>
      <c r="J115"/>
      <c r="K115"/>
    </row>
    <row r="116" spans="1:11">
      <c r="A116"/>
      <c r="B116"/>
      <c r="C116"/>
      <c r="D116"/>
      <c r="E116"/>
      <c r="F116"/>
      <c r="G116"/>
      <c r="H116"/>
      <c r="I116"/>
      <c r="J116"/>
      <c r="K116"/>
    </row>
    <row r="117" spans="1:11">
      <c r="A117"/>
      <c r="B117"/>
      <c r="C117"/>
      <c r="D117"/>
      <c r="E117"/>
      <c r="F117"/>
      <c r="G117"/>
      <c r="H117"/>
      <c r="I117"/>
      <c r="J117"/>
      <c r="K117"/>
    </row>
    <row r="118" spans="1:11">
      <c r="A118"/>
      <c r="B118"/>
      <c r="C118"/>
      <c r="D118"/>
      <c r="E118"/>
      <c r="F118"/>
      <c r="G118"/>
      <c r="H118"/>
      <c r="I118"/>
      <c r="J118"/>
      <c r="K118"/>
    </row>
    <row r="119" spans="1:11">
      <c r="A119"/>
      <c r="B119"/>
      <c r="C119"/>
      <c r="D119"/>
      <c r="E119"/>
      <c r="F119"/>
      <c r="G119"/>
      <c r="H119"/>
      <c r="I119"/>
      <c r="J119"/>
      <c r="K119"/>
    </row>
    <row r="120" spans="1:11">
      <c r="A120"/>
      <c r="B120"/>
      <c r="C120"/>
      <c r="D120"/>
      <c r="E120"/>
      <c r="F120"/>
      <c r="G120"/>
      <c r="H120"/>
      <c r="I120"/>
      <c r="J120"/>
      <c r="K120"/>
    </row>
    <row r="121" spans="1:11">
      <c r="A121"/>
      <c r="B121"/>
      <c r="C121"/>
      <c r="D121"/>
      <c r="E121"/>
      <c r="F121"/>
      <c r="G121"/>
      <c r="H121"/>
      <c r="I121"/>
      <c r="J121"/>
      <c r="K121"/>
    </row>
    <row r="122" spans="1:11">
      <c r="A122"/>
      <c r="B122"/>
      <c r="C122"/>
      <c r="D122"/>
      <c r="E122"/>
      <c r="F122"/>
      <c r="G122"/>
      <c r="H122"/>
      <c r="I122"/>
      <c r="J122"/>
      <c r="K122"/>
    </row>
    <row r="123" spans="1:11">
      <c r="A123"/>
      <c r="B123"/>
      <c r="C123"/>
      <c r="D123"/>
      <c r="E123"/>
      <c r="F123"/>
      <c r="G123"/>
      <c r="H123"/>
      <c r="I123"/>
      <c r="J123"/>
      <c r="K123"/>
    </row>
    <row r="124" spans="1:11">
      <c r="A124"/>
      <c r="B124"/>
      <c r="C124"/>
      <c r="D124"/>
      <c r="E124"/>
      <c r="F124"/>
      <c r="G124"/>
      <c r="H124"/>
      <c r="I124"/>
      <c r="J124"/>
      <c r="K124"/>
    </row>
    <row r="125" spans="1:11">
      <c r="A125"/>
      <c r="B125"/>
      <c r="C125"/>
      <c r="D125"/>
      <c r="E125"/>
      <c r="F125"/>
      <c r="G125"/>
      <c r="H125"/>
      <c r="I125"/>
      <c r="J125"/>
      <c r="K125"/>
    </row>
    <row r="126" spans="1:11">
      <c r="A126"/>
      <c r="B126"/>
      <c r="C126"/>
      <c r="D126"/>
      <c r="E126"/>
      <c r="F126"/>
      <c r="G126"/>
      <c r="H126"/>
      <c r="I126"/>
      <c r="J126"/>
      <c r="K126"/>
    </row>
    <row r="127" spans="1:11">
      <c r="A127"/>
      <c r="B127"/>
      <c r="C127"/>
      <c r="D127"/>
      <c r="E127"/>
      <c r="F127"/>
      <c r="G127"/>
      <c r="H127"/>
      <c r="I127"/>
      <c r="J127"/>
      <c r="K127"/>
    </row>
    <row r="128" spans="1:11">
      <c r="A128"/>
      <c r="B128"/>
      <c r="C128"/>
      <c r="D128"/>
      <c r="E128"/>
      <c r="F128"/>
      <c r="G128"/>
      <c r="H128"/>
      <c r="I128"/>
      <c r="J128"/>
      <c r="K128"/>
    </row>
    <row r="129" spans="1:11">
      <c r="A129"/>
      <c r="B129"/>
      <c r="C129"/>
      <c r="D129"/>
      <c r="E129"/>
      <c r="F129"/>
      <c r="G129"/>
      <c r="H129"/>
      <c r="I129"/>
      <c r="J129"/>
      <c r="K129"/>
    </row>
    <row r="130" spans="1:11">
      <c r="A130"/>
      <c r="B130"/>
      <c r="C130"/>
      <c r="D130"/>
      <c r="E130"/>
      <c r="F130"/>
      <c r="G130"/>
      <c r="H130"/>
      <c r="I130"/>
      <c r="J130"/>
      <c r="K130"/>
    </row>
    <row r="131" spans="1:11">
      <c r="A131"/>
      <c r="B131"/>
      <c r="C131"/>
      <c r="D131"/>
      <c r="E131"/>
      <c r="F131"/>
      <c r="G131"/>
      <c r="H131"/>
      <c r="I131"/>
      <c r="J131"/>
      <c r="K131"/>
    </row>
    <row r="132" spans="1:11">
      <c r="A132"/>
      <c r="B132"/>
      <c r="C132"/>
      <c r="D132"/>
      <c r="E132"/>
      <c r="F132"/>
      <c r="G132"/>
      <c r="H132"/>
      <c r="I132"/>
      <c r="J132"/>
      <c r="K132"/>
    </row>
    <row r="133" spans="1:11">
      <c r="A133"/>
      <c r="B133"/>
      <c r="C133"/>
      <c r="D133"/>
      <c r="E133"/>
      <c r="F133"/>
      <c r="G133"/>
      <c r="H133"/>
      <c r="I133"/>
      <c r="J133"/>
      <c r="K133"/>
    </row>
    <row r="134" spans="1:11">
      <c r="A134"/>
      <c r="B134"/>
      <c r="C134"/>
      <c r="D134"/>
      <c r="E134"/>
      <c r="F134"/>
      <c r="G134"/>
      <c r="H134"/>
      <c r="I134"/>
      <c r="J134"/>
      <c r="K134"/>
    </row>
    <row r="135" spans="1:11">
      <c r="A135"/>
      <c r="B135"/>
      <c r="C135"/>
      <c r="D135"/>
      <c r="E135"/>
      <c r="F135"/>
      <c r="G135"/>
      <c r="H135"/>
      <c r="I135"/>
      <c r="J135"/>
      <c r="K135"/>
    </row>
    <row r="136" spans="1:11">
      <c r="A136"/>
      <c r="B136"/>
      <c r="C136"/>
      <c r="D136"/>
      <c r="E136"/>
      <c r="F136"/>
      <c r="G136"/>
      <c r="H136"/>
      <c r="I136"/>
      <c r="J136"/>
      <c r="K136"/>
    </row>
    <row r="137" spans="1:11">
      <c r="A137"/>
      <c r="B137"/>
      <c r="C137"/>
      <c r="D137"/>
      <c r="E137"/>
      <c r="F137"/>
      <c r="G137"/>
      <c r="H137"/>
      <c r="I137"/>
      <c r="J137"/>
      <c r="K137"/>
    </row>
    <row r="138" spans="1:11">
      <c r="A138"/>
      <c r="B138"/>
      <c r="C138"/>
      <c r="D138"/>
      <c r="E138"/>
      <c r="F138"/>
      <c r="G138"/>
      <c r="H138"/>
      <c r="I138"/>
      <c r="J138"/>
      <c r="K138"/>
    </row>
    <row r="139" spans="1:11">
      <c r="A139"/>
      <c r="B139"/>
      <c r="C139"/>
      <c r="D139"/>
      <c r="E139"/>
      <c r="F139"/>
      <c r="G139"/>
      <c r="H139"/>
      <c r="I139"/>
      <c r="J139"/>
      <c r="K139"/>
    </row>
    <row r="140" spans="1:11">
      <c r="A140"/>
      <c r="B140"/>
      <c r="C140"/>
      <c r="D140"/>
      <c r="E140"/>
      <c r="F140"/>
      <c r="G140"/>
      <c r="H140"/>
      <c r="I140"/>
      <c r="J140"/>
      <c r="K140"/>
    </row>
    <row r="141" spans="1:11">
      <c r="A141"/>
      <c r="B141"/>
      <c r="C141"/>
      <c r="D141"/>
      <c r="E141"/>
      <c r="F141"/>
      <c r="G141"/>
      <c r="H141"/>
      <c r="I141"/>
      <c r="J141"/>
      <c r="K141"/>
    </row>
    <row r="142" spans="1:11">
      <c r="A142"/>
      <c r="B142"/>
      <c r="C142"/>
      <c r="D142"/>
      <c r="E142"/>
      <c r="F142"/>
      <c r="G142"/>
      <c r="H142"/>
      <c r="I142"/>
      <c r="J142"/>
      <c r="K142"/>
    </row>
    <row r="143" spans="1:11">
      <c r="A143"/>
      <c r="B143"/>
      <c r="C143"/>
      <c r="D143"/>
      <c r="E143"/>
      <c r="F143"/>
      <c r="G143"/>
      <c r="H143"/>
      <c r="I143"/>
      <c r="J143"/>
      <c r="K143"/>
    </row>
    <row r="144" spans="1:11">
      <c r="A144"/>
      <c r="B144"/>
      <c r="C144"/>
      <c r="D144"/>
      <c r="E144"/>
      <c r="F144"/>
      <c r="G144"/>
      <c r="H144"/>
      <c r="I144"/>
      <c r="J144"/>
      <c r="K144"/>
    </row>
    <row r="145" spans="1:11">
      <c r="A145"/>
      <c r="B145"/>
      <c r="C145"/>
      <c r="D145"/>
      <c r="E145"/>
      <c r="F145"/>
      <c r="G145"/>
      <c r="H145"/>
      <c r="I145"/>
      <c r="J145"/>
      <c r="K145"/>
    </row>
    <row r="146" spans="1:11">
      <c r="A146"/>
      <c r="B146"/>
      <c r="C146"/>
      <c r="D146"/>
      <c r="E146"/>
      <c r="F146"/>
      <c r="G146"/>
      <c r="H146"/>
      <c r="I146"/>
      <c r="J146"/>
      <c r="K146"/>
    </row>
    <row r="147" spans="1:11">
      <c r="A147"/>
      <c r="B147"/>
      <c r="C147"/>
      <c r="D147"/>
      <c r="E147"/>
      <c r="F147"/>
      <c r="G147"/>
      <c r="H147"/>
      <c r="I147"/>
      <c r="J147"/>
      <c r="K147"/>
    </row>
    <row r="148" spans="1:11">
      <c r="A148"/>
      <c r="B148"/>
      <c r="C148"/>
      <c r="D148"/>
      <c r="E148"/>
      <c r="F148"/>
      <c r="G148"/>
      <c r="H148"/>
      <c r="I148"/>
      <c r="J148"/>
      <c r="K148"/>
    </row>
    <row r="149" spans="1:11">
      <c r="A149"/>
      <c r="B149"/>
      <c r="C149"/>
      <c r="D149"/>
      <c r="E149"/>
      <c r="F149"/>
      <c r="G149"/>
      <c r="H149"/>
      <c r="I149"/>
      <c r="J149"/>
      <c r="K149"/>
    </row>
    <row r="150" spans="1:11">
      <c r="A150"/>
      <c r="B150"/>
      <c r="C150"/>
      <c r="D150"/>
      <c r="E150"/>
      <c r="F150"/>
      <c r="G150"/>
      <c r="H150"/>
      <c r="I150"/>
      <c r="J150"/>
      <c r="K150"/>
    </row>
    <row r="151" spans="1:11">
      <c r="A151"/>
      <c r="B151"/>
      <c r="C151"/>
      <c r="D151"/>
      <c r="E151"/>
      <c r="F151"/>
      <c r="G151"/>
      <c r="H151"/>
      <c r="I151"/>
      <c r="J151"/>
      <c r="K151"/>
    </row>
    <row r="152" spans="1:11">
      <c r="A152"/>
      <c r="B152"/>
      <c r="C152"/>
      <c r="D152"/>
      <c r="E152"/>
      <c r="F152"/>
      <c r="G152"/>
      <c r="H152"/>
      <c r="I152"/>
      <c r="J152"/>
      <c r="K152"/>
    </row>
    <row r="153" spans="1:11">
      <c r="A153"/>
      <c r="B153"/>
      <c r="C153"/>
      <c r="D153"/>
      <c r="E153"/>
      <c r="F153"/>
      <c r="G153"/>
      <c r="H153"/>
      <c r="I153"/>
      <c r="J153"/>
      <c r="K153"/>
    </row>
    <row r="154" spans="1:11">
      <c r="A154"/>
      <c r="B154"/>
      <c r="C154"/>
      <c r="D154"/>
      <c r="E154"/>
      <c r="F154"/>
      <c r="G154"/>
      <c r="H154"/>
      <c r="I154"/>
      <c r="J154"/>
      <c r="K154"/>
    </row>
    <row r="155" spans="1:11">
      <c r="A155"/>
      <c r="B155"/>
      <c r="C155"/>
      <c r="D155"/>
      <c r="E155"/>
      <c r="F155"/>
      <c r="G155"/>
      <c r="H155"/>
      <c r="I155"/>
      <c r="J155"/>
      <c r="K155"/>
    </row>
    <row r="156" spans="1:11">
      <c r="A156"/>
      <c r="B156"/>
      <c r="C156"/>
      <c r="D156"/>
      <c r="E156"/>
      <c r="F156"/>
      <c r="G156"/>
      <c r="H156"/>
      <c r="I156"/>
      <c r="J156"/>
      <c r="K156"/>
    </row>
    <row r="157" spans="1:11">
      <c r="A157"/>
      <c r="B157"/>
      <c r="C157"/>
      <c r="D157"/>
      <c r="E157"/>
      <c r="F157"/>
      <c r="G157"/>
      <c r="H157"/>
      <c r="I157"/>
      <c r="J157"/>
      <c r="K157"/>
    </row>
    <row r="158" spans="1:11">
      <c r="A158"/>
      <c r="B158"/>
      <c r="C158"/>
      <c r="D158"/>
      <c r="E158"/>
      <c r="F158"/>
      <c r="G158"/>
      <c r="H158"/>
      <c r="I158"/>
      <c r="J158"/>
      <c r="K158"/>
    </row>
    <row r="159" spans="1:11">
      <c r="A159"/>
      <c r="B159"/>
      <c r="C159"/>
      <c r="D159"/>
      <c r="E159"/>
      <c r="F159"/>
      <c r="G159"/>
      <c r="H159"/>
      <c r="I159"/>
      <c r="J159"/>
      <c r="K159"/>
    </row>
    <row r="160" spans="1:11">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sheetData>
  <mergeCells count="1">
    <mergeCell ref="A1:K1"/>
  </mergeCells>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S6"/>
  <sheetViews>
    <sheetView workbookViewId="0">
      <selection activeCell="G7" sqref="G7"/>
    </sheetView>
  </sheetViews>
  <sheetFormatPr defaultColWidth="9" defaultRowHeight="13.5" outlineLevelRow="5"/>
  <cols>
    <col min="1" max="1" width="9" style="89"/>
    <col min="2" max="2" width="37.875" style="89" customWidth="1"/>
    <col min="3" max="5" width="9" style="89"/>
    <col min="6" max="6" width="28" style="89" customWidth="1"/>
    <col min="7" max="7" width="11.125" style="89" customWidth="1"/>
    <col min="8" max="8" width="13.625" style="89" customWidth="1" outlineLevel="1"/>
    <col min="9" max="9" width="9" style="89" outlineLevel="1"/>
    <col min="10" max="10" width="21.125" style="89" customWidth="1"/>
    <col min="11" max="11" width="18.875" style="90" customWidth="1"/>
    <col min="12" max="12" width="18.75" style="89" customWidth="1"/>
    <col min="13" max="13" width="9" style="89"/>
    <col min="14" max="14" width="19.125" style="89" customWidth="1"/>
    <col min="15" max="15" width="17" style="89" customWidth="1"/>
    <col min="16" max="16" width="13.25" style="89" customWidth="1"/>
    <col min="17" max="17" width="18.625" style="89" customWidth="1"/>
    <col min="18" max="18" width="11.25" style="89" customWidth="1"/>
    <col min="19" max="19" width="19.875" style="89" customWidth="1"/>
    <col min="20" max="16384" width="9" style="89"/>
  </cols>
  <sheetData>
    <row r="1" ht="18.75" spans="1:18">
      <c r="A1" s="91" t="s">
        <v>48</v>
      </c>
      <c r="B1" s="91"/>
      <c r="C1" s="91"/>
      <c r="D1" s="91"/>
      <c r="E1" s="91"/>
      <c r="F1" s="91"/>
      <c r="G1" s="91"/>
      <c r="H1" s="91"/>
      <c r="I1" s="91"/>
      <c r="J1" s="91"/>
      <c r="K1" s="91"/>
      <c r="L1" s="91"/>
      <c r="M1" s="91"/>
      <c r="N1" s="91"/>
      <c r="O1" s="91"/>
      <c r="P1" s="91"/>
      <c r="Q1" s="91"/>
      <c r="R1" s="91"/>
    </row>
    <row r="2" s="88" customFormat="1" ht="24" customHeight="1" spans="1:19">
      <c r="A2" s="88" t="s">
        <v>1</v>
      </c>
      <c r="B2" s="92" t="s">
        <v>49</v>
      </c>
      <c r="C2" s="88" t="s">
        <v>50</v>
      </c>
      <c r="D2" s="88" t="s">
        <v>51</v>
      </c>
      <c r="E2" s="88" t="s">
        <v>52</v>
      </c>
      <c r="F2" s="88" t="s">
        <v>53</v>
      </c>
      <c r="K2" s="99"/>
      <c r="L2" s="88" t="s">
        <v>54</v>
      </c>
      <c r="O2" s="88" t="s">
        <v>55</v>
      </c>
      <c r="R2" s="88" t="s">
        <v>56</v>
      </c>
      <c r="S2" s="88" t="s">
        <v>57</v>
      </c>
    </row>
    <row r="3" s="88" customFormat="1" ht="24" customHeight="1" spans="2:17">
      <c r="B3" s="92"/>
      <c r="F3" s="93" t="s">
        <v>58</v>
      </c>
      <c r="G3" s="94" t="s">
        <v>59</v>
      </c>
      <c r="H3" s="94" t="s">
        <v>60</v>
      </c>
      <c r="I3" s="94" t="s">
        <v>61</v>
      </c>
      <c r="J3" s="93" t="s">
        <v>62</v>
      </c>
      <c r="K3" s="100" t="s">
        <v>57</v>
      </c>
      <c r="L3" s="93" t="s">
        <v>63</v>
      </c>
      <c r="M3" s="101" t="s">
        <v>64</v>
      </c>
      <c r="N3" s="93" t="s">
        <v>57</v>
      </c>
      <c r="O3" s="93" t="s">
        <v>63</v>
      </c>
      <c r="P3" s="101" t="s">
        <v>64</v>
      </c>
      <c r="Q3" s="93" t="s">
        <v>57</v>
      </c>
    </row>
    <row r="4" spans="1:19">
      <c r="A4" s="95">
        <v>1</v>
      </c>
      <c r="B4" s="95">
        <v>1</v>
      </c>
      <c r="C4" s="95">
        <v>2</v>
      </c>
      <c r="D4" s="95">
        <v>3</v>
      </c>
      <c r="E4" s="95">
        <v>4</v>
      </c>
      <c r="F4" s="95">
        <v>5</v>
      </c>
      <c r="G4" s="95">
        <v>6</v>
      </c>
      <c r="H4" s="95">
        <v>7</v>
      </c>
      <c r="I4" s="95">
        <v>8</v>
      </c>
      <c r="J4" s="95">
        <v>9</v>
      </c>
      <c r="K4" s="95">
        <v>10</v>
      </c>
      <c r="L4" s="95">
        <v>11</v>
      </c>
      <c r="M4" s="95">
        <v>12</v>
      </c>
      <c r="N4" s="95">
        <v>13</v>
      </c>
      <c r="O4" s="95">
        <v>14</v>
      </c>
      <c r="P4" s="95">
        <v>15</v>
      </c>
      <c r="Q4" s="95">
        <v>16</v>
      </c>
      <c r="R4" s="95">
        <v>17</v>
      </c>
      <c r="S4" s="95">
        <v>18</v>
      </c>
    </row>
    <row r="5" ht="40.5" spans="1:19">
      <c r="A5" s="95" t="s">
        <v>37</v>
      </c>
      <c r="B5" s="96" t="s">
        <v>38</v>
      </c>
      <c r="C5" s="97" t="s">
        <v>65</v>
      </c>
      <c r="D5" s="89">
        <v>42.5</v>
      </c>
      <c r="E5" s="89" t="s">
        <v>66</v>
      </c>
      <c r="F5" s="89" t="s">
        <v>67</v>
      </c>
      <c r="G5" s="89" t="s">
        <v>68</v>
      </c>
      <c r="H5" s="98">
        <v>44431</v>
      </c>
      <c r="I5" s="89" t="s">
        <v>69</v>
      </c>
      <c r="J5" s="102" t="str">
        <f>TEXT(H5,"yyyy-mm-dd")&amp;"    "&amp;I5</f>
        <v>2021-08-23    3Z-0235</v>
      </c>
      <c r="K5" s="90" t="s">
        <v>70</v>
      </c>
      <c r="L5" s="89" t="s">
        <v>71</v>
      </c>
      <c r="M5" s="89" t="s">
        <v>72</v>
      </c>
      <c r="N5" s="89" t="s">
        <v>73</v>
      </c>
      <c r="O5" s="89" t="s">
        <v>71</v>
      </c>
      <c r="P5" s="89" t="s">
        <v>74</v>
      </c>
      <c r="Q5" s="89" t="s">
        <v>75</v>
      </c>
      <c r="R5" s="98">
        <v>44457</v>
      </c>
      <c r="S5" s="89" t="s">
        <v>76</v>
      </c>
    </row>
    <row r="6" ht="27" spans="1:19">
      <c r="A6" s="95" t="s">
        <v>77</v>
      </c>
      <c r="B6" s="95" t="s">
        <v>43</v>
      </c>
      <c r="C6" s="97" t="s">
        <v>65</v>
      </c>
      <c r="D6" s="89">
        <v>42.5</v>
      </c>
      <c r="E6" s="89" t="s">
        <v>78</v>
      </c>
      <c r="F6" s="89" t="s">
        <v>79</v>
      </c>
      <c r="G6" s="89" t="s">
        <v>80</v>
      </c>
      <c r="H6" s="98">
        <v>43994</v>
      </c>
      <c r="I6" s="89" t="s">
        <v>81</v>
      </c>
      <c r="J6" s="103" t="s">
        <v>82</v>
      </c>
      <c r="K6" s="90" t="s">
        <v>83</v>
      </c>
      <c r="L6" s="89" t="s">
        <v>84</v>
      </c>
      <c r="M6" s="89" t="s">
        <v>72</v>
      </c>
      <c r="N6" s="89" t="s">
        <v>85</v>
      </c>
      <c r="O6" s="89" t="s">
        <v>84</v>
      </c>
      <c r="P6" s="89" t="s">
        <v>74</v>
      </c>
      <c r="Q6" s="89" t="s">
        <v>86</v>
      </c>
      <c r="R6" s="98">
        <v>44015</v>
      </c>
      <c r="S6" s="89" t="s">
        <v>87</v>
      </c>
    </row>
  </sheetData>
  <mergeCells count="11">
    <mergeCell ref="A1:R1"/>
    <mergeCell ref="F2:K2"/>
    <mergeCell ref="L2:N2"/>
    <mergeCell ref="O2:Q2"/>
    <mergeCell ref="A2:A3"/>
    <mergeCell ref="B2:B3"/>
    <mergeCell ref="C2:C3"/>
    <mergeCell ref="D2:D3"/>
    <mergeCell ref="E2:E3"/>
    <mergeCell ref="R2:R3"/>
    <mergeCell ref="S2:S3"/>
  </mergeCells>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N39"/>
  <sheetViews>
    <sheetView view="pageBreakPreview" zoomScaleNormal="100" topLeftCell="A6" workbookViewId="0">
      <selection activeCell="K7" sqref="K7:N7"/>
    </sheetView>
  </sheetViews>
  <sheetFormatPr defaultColWidth="9" defaultRowHeight="13.5"/>
  <cols>
    <col min="1" max="1" width="3.125" style="2" customWidth="1"/>
    <col min="2" max="2" width="8.5" style="2" customWidth="1"/>
    <col min="3" max="3" width="5.375" style="1" customWidth="1"/>
    <col min="4" max="4" width="7.625" style="1" customWidth="1"/>
    <col min="5" max="6" width="6" style="2" customWidth="1"/>
    <col min="7" max="7" width="6.25" style="1" customWidth="1"/>
    <col min="8" max="8" width="6.375" style="1" customWidth="1"/>
    <col min="9" max="9" width="8.125" style="1" customWidth="1"/>
    <col min="10" max="11" width="4.75" style="1" customWidth="1"/>
    <col min="12" max="12" width="5" style="1" customWidth="1"/>
    <col min="13" max="13" width="5.75" style="1" customWidth="1"/>
    <col min="14" max="14" width="11.875" style="1" customWidth="1"/>
  </cols>
  <sheetData>
    <row r="1" s="1" customFormat="1" ht="6" customHeight="1" spans="1:14">
      <c r="A1" s="3"/>
      <c r="B1" s="3"/>
      <c r="C1" s="3"/>
      <c r="D1" s="3"/>
      <c r="E1" s="2"/>
      <c r="F1" s="2"/>
      <c r="G1" s="4"/>
      <c r="H1" s="4"/>
      <c r="I1" s="4"/>
      <c r="J1" s="4"/>
      <c r="K1" s="4"/>
      <c r="L1" s="4"/>
      <c r="M1" s="4"/>
      <c r="N1" s="4"/>
    </row>
    <row r="2" s="1" customFormat="1" ht="6" customHeight="1" spans="1:14">
      <c r="A2" s="3"/>
      <c r="B2" s="3"/>
      <c r="C2" s="3"/>
      <c r="D2" s="3"/>
      <c r="E2" s="2"/>
      <c r="F2" s="2"/>
      <c r="G2" s="5"/>
      <c r="H2" s="5"/>
      <c r="I2" s="44"/>
      <c r="J2" s="44"/>
      <c r="K2" s="44"/>
      <c r="L2" s="44"/>
      <c r="M2" s="44"/>
      <c r="N2" s="44"/>
    </row>
    <row r="3" s="1" customFormat="1" ht="6" customHeight="1" spans="1:14">
      <c r="A3" s="3"/>
      <c r="B3" s="6"/>
      <c r="C3" s="6"/>
      <c r="D3" s="6"/>
      <c r="E3" s="3"/>
      <c r="F3" s="3"/>
      <c r="G3" s="7"/>
      <c r="H3" s="7"/>
      <c r="I3" s="45"/>
      <c r="J3" s="45"/>
      <c r="K3" s="45"/>
      <c r="L3" s="45"/>
      <c r="M3" s="45"/>
      <c r="N3" s="45"/>
    </row>
    <row r="4" s="1" customFormat="1" ht="6" customHeight="1" spans="1:14">
      <c r="A4" s="2"/>
      <c r="E4" s="2"/>
      <c r="F4" s="2"/>
      <c r="G4" s="8"/>
      <c r="H4" s="8"/>
      <c r="I4" s="4"/>
      <c r="J4" s="4"/>
      <c r="K4" s="4"/>
      <c r="L4" s="4"/>
      <c r="M4" s="4"/>
      <c r="N4" s="4"/>
    </row>
    <row r="5" ht="20" customHeight="1" spans="1:14">
      <c r="A5" s="9" t="s">
        <v>88</v>
      </c>
      <c r="B5" s="9"/>
      <c r="C5" s="10"/>
      <c r="D5" s="10"/>
      <c r="E5" s="9"/>
      <c r="F5" s="9"/>
      <c r="G5" s="10"/>
      <c r="H5" s="10"/>
      <c r="I5" s="10"/>
      <c r="J5" s="10"/>
      <c r="K5" s="10"/>
      <c r="L5" s="10"/>
      <c r="M5" s="10"/>
      <c r="N5" s="10"/>
    </row>
    <row r="6" ht="25" customHeight="1" spans="1:14">
      <c r="A6" s="11" t="s">
        <v>89</v>
      </c>
      <c r="B6" s="11"/>
      <c r="C6" s="12"/>
      <c r="D6" s="12"/>
      <c r="E6" s="11"/>
      <c r="F6" s="11"/>
      <c r="G6" s="12"/>
      <c r="H6" s="12"/>
      <c r="I6" s="12"/>
      <c r="J6" s="12"/>
      <c r="K6" s="12"/>
      <c r="L6" s="12"/>
      <c r="M6" s="12"/>
      <c r="N6" s="12"/>
    </row>
    <row r="7" ht="23" customHeight="1" spans="1:14">
      <c r="A7" s="13" t="s">
        <v>90</v>
      </c>
      <c r="B7" s="13"/>
      <c r="C7" s="14" t="e">
        <f>VLOOKUP($C$8,委托单位信息!#REF!,2,FALSE)</f>
        <v>#REF!</v>
      </c>
      <c r="D7" s="14"/>
      <c r="E7" s="14"/>
      <c r="F7" s="14"/>
      <c r="G7" s="14"/>
      <c r="H7" s="14"/>
      <c r="I7" s="46" t="s">
        <v>91</v>
      </c>
      <c r="J7" s="46"/>
      <c r="K7" s="14" t="e">
        <f>VLOOKUP($C$8,#REF!,17,FALSE)</f>
        <v>#REF!</v>
      </c>
      <c r="L7" s="14"/>
      <c r="M7" s="14"/>
      <c r="N7" s="14"/>
    </row>
    <row r="8" ht="42" customHeight="1" spans="1:14">
      <c r="A8" s="13" t="s">
        <v>92</v>
      </c>
      <c r="B8" s="13"/>
      <c r="C8" s="15" t="s">
        <v>93</v>
      </c>
      <c r="D8" s="15"/>
      <c r="E8" s="15"/>
      <c r="F8" s="15"/>
      <c r="G8" s="15"/>
      <c r="H8" s="15"/>
      <c r="I8" s="15"/>
      <c r="J8" s="15"/>
      <c r="K8" s="15"/>
      <c r="L8" s="15"/>
      <c r="M8" s="15"/>
      <c r="N8" s="15"/>
    </row>
    <row r="9" ht="23" customHeight="1" spans="1:14">
      <c r="A9" s="13" t="s">
        <v>94</v>
      </c>
      <c r="B9" s="13"/>
      <c r="C9" s="14" t="s">
        <v>45</v>
      </c>
      <c r="D9" s="14"/>
      <c r="E9" s="14"/>
      <c r="F9" s="14"/>
      <c r="G9" s="14"/>
      <c r="H9" s="14"/>
      <c r="I9" s="46" t="s">
        <v>95</v>
      </c>
      <c r="J9" s="46"/>
      <c r="K9" s="14" t="e">
        <f>VLOOKUP($C$8,委托单位信息!#REF!,9,FALSE)</f>
        <v>#REF!</v>
      </c>
      <c r="L9" s="14"/>
      <c r="M9" s="14"/>
      <c r="N9" s="14"/>
    </row>
    <row r="10" ht="23" customHeight="1" spans="1:14">
      <c r="A10" s="13" t="s">
        <v>96</v>
      </c>
      <c r="B10" s="13"/>
      <c r="C10" s="14" t="s">
        <v>45</v>
      </c>
      <c r="D10" s="14"/>
      <c r="E10" s="14"/>
      <c r="F10" s="14"/>
      <c r="G10" s="14"/>
      <c r="H10" s="14"/>
      <c r="I10" s="46" t="s">
        <v>97</v>
      </c>
      <c r="J10" s="46"/>
      <c r="K10" s="14" t="s">
        <v>98</v>
      </c>
      <c r="L10" s="14"/>
      <c r="M10" s="14"/>
      <c r="N10" s="14"/>
    </row>
    <row r="11" ht="23" customHeight="1" spans="1:14">
      <c r="A11" s="13" t="s">
        <v>99</v>
      </c>
      <c r="B11" s="13"/>
      <c r="C11" s="14" t="e">
        <f>VLOOKUP($C$8,委托单位信息!#REF!,4,FALSE)</f>
        <v>#REF!</v>
      </c>
      <c r="D11" s="14"/>
      <c r="E11" s="14"/>
      <c r="F11" s="14"/>
      <c r="G11" s="14"/>
      <c r="H11" s="14"/>
      <c r="I11" s="46" t="s">
        <v>100</v>
      </c>
      <c r="J11" s="46"/>
      <c r="K11" s="14" t="e">
        <f>VLOOKUP($C$8,委托单位信息!#REF!,5,FALSE)</f>
        <v>#REF!</v>
      </c>
      <c r="L11" s="14"/>
      <c r="M11" s="14"/>
      <c r="N11" s="14"/>
    </row>
    <row r="12" ht="23" customHeight="1" spans="1:14">
      <c r="A12" s="13" t="s">
        <v>101</v>
      </c>
      <c r="B12" s="13"/>
      <c r="C12" s="16" t="e">
        <f>VLOOKUP($C$8,#REF!,16,FALSE)</f>
        <v>#REF!</v>
      </c>
      <c r="D12" s="16"/>
      <c r="E12" s="13" t="s">
        <v>102</v>
      </c>
      <c r="F12" s="13"/>
      <c r="G12" s="16" t="e">
        <f>G14+28</f>
        <v>#REF!</v>
      </c>
      <c r="H12" s="16"/>
      <c r="I12" s="46" t="s">
        <v>103</v>
      </c>
      <c r="J12" s="46"/>
      <c r="K12" s="16" t="e">
        <f>G12+2</f>
        <v>#REF!</v>
      </c>
      <c r="L12" s="16"/>
      <c r="M12" s="16"/>
      <c r="N12" s="16"/>
    </row>
    <row r="13" ht="9" customHeight="1" spans="1:14">
      <c r="A13" s="17"/>
      <c r="B13" s="17"/>
      <c r="C13" s="18"/>
      <c r="D13" s="18"/>
      <c r="E13" s="17"/>
      <c r="F13" s="17"/>
      <c r="G13" s="18"/>
      <c r="H13" s="18"/>
      <c r="I13" s="18"/>
      <c r="J13" s="25"/>
      <c r="K13" s="25"/>
      <c r="L13" s="25"/>
      <c r="M13" s="25"/>
      <c r="N13" s="18"/>
    </row>
    <row r="14" ht="20" customHeight="1" spans="1:14">
      <c r="A14" s="19" t="s">
        <v>104</v>
      </c>
      <c r="B14" s="19"/>
      <c r="C14" s="20" t="s">
        <v>105</v>
      </c>
      <c r="D14" s="20"/>
      <c r="E14" s="21" t="s">
        <v>106</v>
      </c>
      <c r="F14" s="22"/>
      <c r="G14" s="23" t="e">
        <f>C12+3</f>
        <v>#REF!</v>
      </c>
      <c r="H14" s="24"/>
      <c r="I14" s="47" t="s">
        <v>107</v>
      </c>
      <c r="J14" s="48"/>
      <c r="K14" s="49" t="s">
        <v>108</v>
      </c>
      <c r="L14" s="49"/>
      <c r="M14" s="49"/>
      <c r="N14" s="48"/>
    </row>
    <row r="15" ht="8" customHeight="1" spans="1:14">
      <c r="A15" s="17"/>
      <c r="B15" s="17"/>
      <c r="C15" s="25"/>
      <c r="D15" s="25"/>
      <c r="E15" s="17"/>
      <c r="F15" s="17"/>
      <c r="G15" s="25"/>
      <c r="H15" s="25"/>
      <c r="I15" s="25"/>
      <c r="J15" s="25"/>
      <c r="K15" s="25"/>
      <c r="L15" s="25"/>
      <c r="M15" s="25"/>
      <c r="N15" s="25"/>
    </row>
    <row r="16" ht="18" customHeight="1" spans="1:14">
      <c r="A16" s="19" t="s">
        <v>109</v>
      </c>
      <c r="B16" s="20" t="s">
        <v>53</v>
      </c>
      <c r="C16" s="26" t="s">
        <v>110</v>
      </c>
      <c r="D16" s="26"/>
      <c r="E16" s="27" t="e">
        <f>VLOOKUP($C$8,#REF!,5,FALSE)</f>
        <v>#REF!</v>
      </c>
      <c r="F16" s="27"/>
      <c r="G16" s="28" t="s">
        <v>111</v>
      </c>
      <c r="H16" s="29" t="e">
        <f>VLOOKUP($C$8,#REF!,7,FALSE)</f>
        <v>#REF!</v>
      </c>
      <c r="I16" s="29"/>
      <c r="J16" s="29" t="s">
        <v>112</v>
      </c>
      <c r="K16" s="29"/>
      <c r="L16" s="29"/>
      <c r="M16" s="50" t="e">
        <f>VLOOKUP($C$8,#REF!,6,FALSE)</f>
        <v>#REF!</v>
      </c>
      <c r="N16" s="51"/>
    </row>
    <row r="17" ht="18" customHeight="1" spans="1:14">
      <c r="A17" s="19"/>
      <c r="B17" s="20"/>
      <c r="C17" s="30" t="s">
        <v>113</v>
      </c>
      <c r="D17" s="30"/>
      <c r="E17" s="31" t="e">
        <f>VLOOKUP($C$8,#REF!,4,FALSE)</f>
        <v>#REF!</v>
      </c>
      <c r="F17" s="31"/>
      <c r="G17" s="30"/>
      <c r="H17" s="30"/>
      <c r="I17" s="30"/>
      <c r="J17" s="52" t="s">
        <v>91</v>
      </c>
      <c r="K17" s="52"/>
      <c r="L17" s="52"/>
      <c r="M17" s="53" t="e">
        <f>VLOOKUP($C$8,#REF!,9,FALSE)</f>
        <v>#REF!</v>
      </c>
      <c r="N17" s="54"/>
    </row>
    <row r="18" ht="18" customHeight="1" spans="1:14">
      <c r="A18" s="19"/>
      <c r="B18" s="20" t="s">
        <v>114</v>
      </c>
      <c r="C18" s="26" t="s">
        <v>110</v>
      </c>
      <c r="D18" s="26"/>
      <c r="E18" s="32" t="e">
        <f>VLOOKUP($C$8,#REF!,11,FALSE)</f>
        <v>#REF!</v>
      </c>
      <c r="F18" s="32"/>
      <c r="G18" s="26"/>
      <c r="H18" s="26"/>
      <c r="I18" s="26"/>
      <c r="J18" s="29" t="s">
        <v>115</v>
      </c>
      <c r="K18" s="29"/>
      <c r="L18" s="29"/>
      <c r="M18" s="50" t="s">
        <v>45</v>
      </c>
      <c r="N18" s="51"/>
    </row>
    <row r="19" ht="18" customHeight="1" spans="1:14">
      <c r="A19" s="19"/>
      <c r="B19" s="20"/>
      <c r="C19" s="30" t="s">
        <v>116</v>
      </c>
      <c r="D19" s="30"/>
      <c r="E19" s="31" t="e">
        <f>VLOOKUP($C$8,#REF!,10,FALSE)</f>
        <v>#REF!</v>
      </c>
      <c r="F19" s="31"/>
      <c r="G19" s="30"/>
      <c r="H19" s="30"/>
      <c r="I19" s="30"/>
      <c r="J19" s="52" t="s">
        <v>91</v>
      </c>
      <c r="K19" s="52"/>
      <c r="L19" s="52"/>
      <c r="M19" s="53" t="e">
        <f>VLOOKUP($C$8,#REF!,12,FALSE)</f>
        <v>#REF!</v>
      </c>
      <c r="N19" s="54"/>
    </row>
    <row r="20" ht="18" customHeight="1" spans="1:14">
      <c r="A20" s="19"/>
      <c r="B20" s="20" t="s">
        <v>117</v>
      </c>
      <c r="C20" s="26" t="s">
        <v>110</v>
      </c>
      <c r="D20" s="26"/>
      <c r="E20" s="32" t="s">
        <v>45</v>
      </c>
      <c r="F20" s="32"/>
      <c r="G20" s="26"/>
      <c r="H20" s="26"/>
      <c r="I20" s="26"/>
      <c r="J20" s="29" t="s">
        <v>115</v>
      </c>
      <c r="K20" s="29"/>
      <c r="L20" s="29"/>
      <c r="M20" s="50" t="s">
        <v>45</v>
      </c>
      <c r="N20" s="51"/>
    </row>
    <row r="21" ht="18" customHeight="1" spans="1:14">
      <c r="A21" s="19"/>
      <c r="B21" s="20"/>
      <c r="C21" s="30" t="s">
        <v>116</v>
      </c>
      <c r="D21" s="30"/>
      <c r="E21" s="31" t="s">
        <v>45</v>
      </c>
      <c r="F21" s="31"/>
      <c r="G21" s="30"/>
      <c r="H21" s="30"/>
      <c r="I21" s="30"/>
      <c r="J21" s="52" t="s">
        <v>91</v>
      </c>
      <c r="K21" s="52"/>
      <c r="L21" s="52"/>
      <c r="M21" s="53" t="s">
        <v>45</v>
      </c>
      <c r="N21" s="54"/>
    </row>
    <row r="22" ht="18" customHeight="1" spans="1:14">
      <c r="A22" s="19"/>
      <c r="B22" s="20" t="s">
        <v>118</v>
      </c>
      <c r="C22" s="26" t="s">
        <v>110</v>
      </c>
      <c r="D22" s="26"/>
      <c r="E22" s="32" t="s">
        <v>119</v>
      </c>
      <c r="F22" s="32"/>
      <c r="G22" s="26"/>
      <c r="H22" s="26"/>
      <c r="I22" s="26"/>
      <c r="J22" s="29" t="s">
        <v>120</v>
      </c>
      <c r="K22" s="29"/>
      <c r="L22" s="29"/>
      <c r="M22" s="55" t="s">
        <v>121</v>
      </c>
      <c r="N22" s="56"/>
    </row>
    <row r="23" ht="18" customHeight="1" spans="1:14">
      <c r="A23" s="19"/>
      <c r="B23" s="20"/>
      <c r="C23" s="30" t="s">
        <v>116</v>
      </c>
      <c r="D23" s="30"/>
      <c r="E23" s="31" t="e">
        <f>VLOOKUP($C$8,#REF!,13,FALSE)</f>
        <v>#REF!</v>
      </c>
      <c r="F23" s="31"/>
      <c r="G23" s="30"/>
      <c r="H23" s="30"/>
      <c r="I23" s="30"/>
      <c r="J23" s="52" t="s">
        <v>91</v>
      </c>
      <c r="K23" s="52"/>
      <c r="L23" s="52"/>
      <c r="M23" s="53" t="e">
        <f>VLOOKUP($C$8,#REF!,15,FALSE)</f>
        <v>#REF!</v>
      </c>
      <c r="N23" s="54"/>
    </row>
    <row r="24" ht="18" customHeight="1" spans="1:14">
      <c r="A24" s="19"/>
      <c r="B24" s="20" t="s">
        <v>122</v>
      </c>
      <c r="C24" s="26" t="s">
        <v>110</v>
      </c>
      <c r="D24" s="26"/>
      <c r="E24" s="32" t="s">
        <v>45</v>
      </c>
      <c r="F24" s="32"/>
      <c r="G24" s="26"/>
      <c r="H24" s="26"/>
      <c r="I24" s="26"/>
      <c r="J24" s="29" t="s">
        <v>120</v>
      </c>
      <c r="K24" s="29"/>
      <c r="L24" s="29"/>
      <c r="M24" s="50" t="s">
        <v>45</v>
      </c>
      <c r="N24" s="51"/>
    </row>
    <row r="25" ht="18" customHeight="1" spans="1:14">
      <c r="A25" s="19"/>
      <c r="B25" s="20"/>
      <c r="C25" s="30" t="s">
        <v>116</v>
      </c>
      <c r="D25" s="30"/>
      <c r="E25" s="31" t="s">
        <v>45</v>
      </c>
      <c r="F25" s="31"/>
      <c r="G25" s="30"/>
      <c r="H25" s="30"/>
      <c r="I25" s="30"/>
      <c r="J25" s="52" t="s">
        <v>91</v>
      </c>
      <c r="K25" s="52"/>
      <c r="L25" s="52"/>
      <c r="M25" s="53" t="s">
        <v>45</v>
      </c>
      <c r="N25" s="54"/>
    </row>
    <row r="26" ht="18" customHeight="1" spans="1:14">
      <c r="A26" s="19"/>
      <c r="B26" s="20" t="s">
        <v>123</v>
      </c>
      <c r="C26" s="26" t="s">
        <v>124</v>
      </c>
      <c r="D26" s="26"/>
      <c r="E26" s="32" t="s">
        <v>45</v>
      </c>
      <c r="F26" s="32"/>
      <c r="G26" s="26"/>
      <c r="H26" s="26"/>
      <c r="I26" s="26"/>
      <c r="J26" s="29" t="s">
        <v>125</v>
      </c>
      <c r="K26" s="29"/>
      <c r="L26" s="29"/>
      <c r="M26" s="50" t="s">
        <v>45</v>
      </c>
      <c r="N26" s="51"/>
    </row>
    <row r="27" ht="18" customHeight="1" spans="1:14">
      <c r="A27" s="19"/>
      <c r="B27" s="20"/>
      <c r="C27" s="30" t="s">
        <v>116</v>
      </c>
      <c r="D27" s="30"/>
      <c r="E27" s="31" t="s">
        <v>45</v>
      </c>
      <c r="F27" s="31"/>
      <c r="G27" s="30"/>
      <c r="H27" s="30"/>
      <c r="I27" s="30"/>
      <c r="J27" s="52" t="s">
        <v>91</v>
      </c>
      <c r="K27" s="52"/>
      <c r="L27" s="52"/>
      <c r="M27" s="53" t="s">
        <v>45</v>
      </c>
      <c r="N27" s="54"/>
    </row>
    <row r="28" ht="18" customHeight="1" spans="1:14">
      <c r="A28" s="19"/>
      <c r="B28" s="20" t="s">
        <v>126</v>
      </c>
      <c r="C28" s="26" t="s">
        <v>124</v>
      </c>
      <c r="D28" s="26"/>
      <c r="E28" s="32" t="s">
        <v>45</v>
      </c>
      <c r="F28" s="32"/>
      <c r="G28" s="26"/>
      <c r="H28" s="26"/>
      <c r="I28" s="26"/>
      <c r="J28" s="29" t="s">
        <v>125</v>
      </c>
      <c r="K28" s="29"/>
      <c r="L28" s="29"/>
      <c r="M28" s="50" t="s">
        <v>45</v>
      </c>
      <c r="N28" s="51"/>
    </row>
    <row r="29" ht="18" customHeight="1" spans="1:14">
      <c r="A29" s="19"/>
      <c r="B29" s="20"/>
      <c r="C29" s="30" t="s">
        <v>116</v>
      </c>
      <c r="D29" s="30"/>
      <c r="E29" s="31" t="s">
        <v>45</v>
      </c>
      <c r="F29" s="31"/>
      <c r="G29" s="30"/>
      <c r="H29" s="30"/>
      <c r="I29" s="30"/>
      <c r="J29" s="52" t="s">
        <v>91</v>
      </c>
      <c r="K29" s="52"/>
      <c r="L29" s="52"/>
      <c r="M29" s="53" t="s">
        <v>45</v>
      </c>
      <c r="N29" s="54"/>
    </row>
    <row r="30" ht="18" customHeight="1" spans="1:14">
      <c r="A30" s="19"/>
      <c r="B30" s="20" t="s">
        <v>127</v>
      </c>
      <c r="C30" s="26" t="s">
        <v>124</v>
      </c>
      <c r="D30" s="26"/>
      <c r="E30" s="32" t="s">
        <v>45</v>
      </c>
      <c r="F30" s="32"/>
      <c r="G30" s="26"/>
      <c r="H30" s="26"/>
      <c r="I30" s="26"/>
      <c r="J30" s="29" t="s">
        <v>125</v>
      </c>
      <c r="K30" s="29"/>
      <c r="L30" s="29"/>
      <c r="M30" s="50" t="s">
        <v>45</v>
      </c>
      <c r="N30" s="51"/>
    </row>
    <row r="31" ht="18" customHeight="1" spans="1:14">
      <c r="A31" s="19"/>
      <c r="B31" s="20"/>
      <c r="C31" s="33" t="s">
        <v>116</v>
      </c>
      <c r="D31" s="33"/>
      <c r="E31" s="34" t="s">
        <v>45</v>
      </c>
      <c r="F31" s="34"/>
      <c r="G31" s="33"/>
      <c r="H31" s="33"/>
      <c r="I31" s="33"/>
      <c r="J31" s="57" t="s">
        <v>91</v>
      </c>
      <c r="K31" s="57"/>
      <c r="L31" s="57"/>
      <c r="M31" s="58" t="s">
        <v>45</v>
      </c>
      <c r="N31" s="59"/>
    </row>
    <row r="32" s="2" customFormat="1" ht="32" customHeight="1" spans="1:14">
      <c r="A32" s="19" t="s">
        <v>128</v>
      </c>
      <c r="B32" s="19" t="s">
        <v>129</v>
      </c>
      <c r="C32" s="35"/>
      <c r="D32" s="35" t="s">
        <v>53</v>
      </c>
      <c r="E32" s="35" t="s">
        <v>114</v>
      </c>
      <c r="F32" s="35" t="s">
        <v>117</v>
      </c>
      <c r="G32" s="35" t="s">
        <v>118</v>
      </c>
      <c r="H32" s="35" t="s">
        <v>122</v>
      </c>
      <c r="I32" s="35" t="s">
        <v>123</v>
      </c>
      <c r="J32" s="60" t="s">
        <v>130</v>
      </c>
      <c r="K32" s="61"/>
      <c r="L32" s="60" t="s">
        <v>131</v>
      </c>
      <c r="M32" s="61"/>
      <c r="N32" s="35" t="s">
        <v>132</v>
      </c>
    </row>
    <row r="33" ht="25" customHeight="1" spans="1:14">
      <c r="A33" s="19"/>
      <c r="B33" s="20" t="s">
        <v>133</v>
      </c>
      <c r="C33" s="20"/>
      <c r="D33" s="20">
        <v>219</v>
      </c>
      <c r="E33" s="19">
        <v>890</v>
      </c>
      <c r="F33" s="19" t="s">
        <v>134</v>
      </c>
      <c r="G33" s="20">
        <v>964</v>
      </c>
      <c r="H33" s="20" t="s">
        <v>134</v>
      </c>
      <c r="I33" s="20" t="s">
        <v>134</v>
      </c>
      <c r="J33" s="21" t="s">
        <v>134</v>
      </c>
      <c r="K33" s="22"/>
      <c r="L33" s="21" t="s">
        <v>134</v>
      </c>
      <c r="M33" s="22"/>
      <c r="N33" s="20">
        <v>180</v>
      </c>
    </row>
    <row r="34" ht="25" customHeight="1" spans="1:14">
      <c r="A34" s="19"/>
      <c r="B34" s="20" t="s">
        <v>135</v>
      </c>
      <c r="C34" s="20"/>
      <c r="D34" s="36">
        <v>1</v>
      </c>
      <c r="E34" s="19">
        <v>4.06</v>
      </c>
      <c r="F34" s="19" t="s">
        <v>134</v>
      </c>
      <c r="G34" s="36">
        <v>4.4</v>
      </c>
      <c r="H34" s="20" t="s">
        <v>134</v>
      </c>
      <c r="I34" s="20" t="s">
        <v>134</v>
      </c>
      <c r="J34" s="21" t="s">
        <v>134</v>
      </c>
      <c r="K34" s="22"/>
      <c r="L34" s="21" t="s">
        <v>134</v>
      </c>
      <c r="M34" s="22"/>
      <c r="N34" s="20">
        <v>0.82</v>
      </c>
    </row>
    <row r="35" ht="33" customHeight="1" spans="1:14">
      <c r="A35" s="21" t="s">
        <v>11</v>
      </c>
      <c r="B35" s="37"/>
      <c r="C35" s="38" t="s">
        <v>136</v>
      </c>
      <c r="D35" s="39"/>
      <c r="E35" s="39"/>
      <c r="F35" s="39"/>
      <c r="G35" s="39"/>
      <c r="H35" s="39"/>
      <c r="I35" s="39"/>
      <c r="J35" s="39"/>
      <c r="K35" s="39"/>
      <c r="L35" s="39"/>
      <c r="M35" s="39"/>
      <c r="N35" s="62"/>
    </row>
    <row r="36" ht="51" customHeight="1" spans="1:14">
      <c r="A36" s="40" t="s">
        <v>137</v>
      </c>
      <c r="B36" s="40"/>
      <c r="C36" s="40"/>
      <c r="D36" s="40"/>
      <c r="E36" s="40"/>
      <c r="F36" s="40"/>
      <c r="G36" s="40"/>
      <c r="H36" s="40"/>
      <c r="I36" s="40"/>
      <c r="J36" s="40"/>
      <c r="K36" s="40"/>
      <c r="L36" s="40"/>
      <c r="M36" s="40"/>
      <c r="N36" s="40"/>
    </row>
    <row r="37" ht="43" customHeight="1" spans="1:14">
      <c r="A37" s="17" t="s">
        <v>138</v>
      </c>
      <c r="B37" s="17"/>
      <c r="C37" s="40"/>
      <c r="D37" s="40"/>
      <c r="E37" s="41" t="s">
        <v>139</v>
      </c>
      <c r="F37" s="41"/>
      <c r="G37" s="40"/>
      <c r="H37" s="40"/>
      <c r="I37" s="40"/>
      <c r="J37" s="17" t="s">
        <v>140</v>
      </c>
      <c r="K37" s="17"/>
      <c r="L37" s="40"/>
      <c r="M37" s="40"/>
      <c r="N37" s="40"/>
    </row>
    <row r="38" ht="27" customHeight="1" spans="1:14">
      <c r="A38" s="42" t="s">
        <v>141</v>
      </c>
      <c r="B38" s="42"/>
      <c r="C38" s="42"/>
      <c r="D38" s="42"/>
      <c r="E38" s="42"/>
      <c r="F38" s="42"/>
      <c r="G38" s="42"/>
      <c r="H38" s="43"/>
      <c r="I38" s="43"/>
      <c r="J38" s="42" t="s">
        <v>142</v>
      </c>
      <c r="K38" s="42"/>
      <c r="L38" s="42"/>
      <c r="M38" s="42"/>
      <c r="N38" s="42"/>
    </row>
    <row r="39" spans="1:7">
      <c r="A39" s="42"/>
      <c r="B39" s="42"/>
      <c r="C39" s="42"/>
      <c r="D39" s="42"/>
      <c r="E39" s="86"/>
      <c r="F39" s="87"/>
      <c r="G39" s="87"/>
    </row>
  </sheetData>
  <mergeCells count="131">
    <mergeCell ref="G1:N1"/>
    <mergeCell ref="I2:N2"/>
    <mergeCell ref="I3:N3"/>
    <mergeCell ref="A5:N5"/>
    <mergeCell ref="A6:N6"/>
    <mergeCell ref="A7:B7"/>
    <mergeCell ref="C7:H7"/>
    <mergeCell ref="I7:J7"/>
    <mergeCell ref="K7:N7"/>
    <mergeCell ref="A8:B8"/>
    <mergeCell ref="C8:N8"/>
    <mergeCell ref="A9:B9"/>
    <mergeCell ref="C9:H9"/>
    <mergeCell ref="I9:J9"/>
    <mergeCell ref="K9:N9"/>
    <mergeCell ref="A10:B10"/>
    <mergeCell ref="C10:H10"/>
    <mergeCell ref="I10:J10"/>
    <mergeCell ref="K10:N10"/>
    <mergeCell ref="A11:B11"/>
    <mergeCell ref="C11:H11"/>
    <mergeCell ref="I11:J11"/>
    <mergeCell ref="K11:N11"/>
    <mergeCell ref="A12:B12"/>
    <mergeCell ref="C12:D12"/>
    <mergeCell ref="E12:F12"/>
    <mergeCell ref="G12:H12"/>
    <mergeCell ref="I12:J12"/>
    <mergeCell ref="K12:N12"/>
    <mergeCell ref="A14:B14"/>
    <mergeCell ref="C14:D14"/>
    <mergeCell ref="E14:F14"/>
    <mergeCell ref="G14:H14"/>
    <mergeCell ref="I14:J14"/>
    <mergeCell ref="K14:N14"/>
    <mergeCell ref="C16:D16"/>
    <mergeCell ref="E16:F16"/>
    <mergeCell ref="H16:I16"/>
    <mergeCell ref="J16:L16"/>
    <mergeCell ref="M16:N16"/>
    <mergeCell ref="C17:D17"/>
    <mergeCell ref="E17:I17"/>
    <mergeCell ref="J17:L17"/>
    <mergeCell ref="M17:N17"/>
    <mergeCell ref="C18:D18"/>
    <mergeCell ref="E18:I18"/>
    <mergeCell ref="J18:L18"/>
    <mergeCell ref="M18:N18"/>
    <mergeCell ref="C19:D19"/>
    <mergeCell ref="E19:I19"/>
    <mergeCell ref="J19:L19"/>
    <mergeCell ref="M19:N19"/>
    <mergeCell ref="C20:D20"/>
    <mergeCell ref="E20:I20"/>
    <mergeCell ref="J20:L20"/>
    <mergeCell ref="M20:N20"/>
    <mergeCell ref="C21:D21"/>
    <mergeCell ref="E21:I21"/>
    <mergeCell ref="J21:L21"/>
    <mergeCell ref="M21:N21"/>
    <mergeCell ref="C22:D22"/>
    <mergeCell ref="E22:I22"/>
    <mergeCell ref="J22:L22"/>
    <mergeCell ref="M22:N22"/>
    <mergeCell ref="C23:D23"/>
    <mergeCell ref="E23:I23"/>
    <mergeCell ref="J23:L23"/>
    <mergeCell ref="M23:N23"/>
    <mergeCell ref="C24:D24"/>
    <mergeCell ref="E24:I24"/>
    <mergeCell ref="J24:L24"/>
    <mergeCell ref="M24:N24"/>
    <mergeCell ref="C25:D25"/>
    <mergeCell ref="E25:I25"/>
    <mergeCell ref="J25:L25"/>
    <mergeCell ref="M25:N25"/>
    <mergeCell ref="C26:D26"/>
    <mergeCell ref="E26:I26"/>
    <mergeCell ref="J26:L26"/>
    <mergeCell ref="M26:N26"/>
    <mergeCell ref="C27:D27"/>
    <mergeCell ref="E27:I27"/>
    <mergeCell ref="J27:L27"/>
    <mergeCell ref="M27:N27"/>
    <mergeCell ref="C28:D28"/>
    <mergeCell ref="E28:I28"/>
    <mergeCell ref="J28:L28"/>
    <mergeCell ref="M28:N28"/>
    <mergeCell ref="C29:D29"/>
    <mergeCell ref="E29:I29"/>
    <mergeCell ref="J29:L29"/>
    <mergeCell ref="M29:N29"/>
    <mergeCell ref="C30:D30"/>
    <mergeCell ref="E30:I30"/>
    <mergeCell ref="J30:L30"/>
    <mergeCell ref="M30:N30"/>
    <mergeCell ref="C31:D31"/>
    <mergeCell ref="E31:I31"/>
    <mergeCell ref="J31:L31"/>
    <mergeCell ref="M31:N31"/>
    <mergeCell ref="B32:C32"/>
    <mergeCell ref="J32:K32"/>
    <mergeCell ref="L32:M32"/>
    <mergeCell ref="B33:C33"/>
    <mergeCell ref="J33:K33"/>
    <mergeCell ref="L33:M33"/>
    <mergeCell ref="B34:C34"/>
    <mergeCell ref="J34:K34"/>
    <mergeCell ref="L34:M34"/>
    <mergeCell ref="A35:B35"/>
    <mergeCell ref="C35:N35"/>
    <mergeCell ref="A36:N36"/>
    <mergeCell ref="A37:B37"/>
    <mergeCell ref="E37:F37"/>
    <mergeCell ref="J37:K37"/>
    <mergeCell ref="A38:G38"/>
    <mergeCell ref="J38:N38"/>
    <mergeCell ref="A39:D39"/>
    <mergeCell ref="F39:G39"/>
    <mergeCell ref="A1:A2"/>
    <mergeCell ref="A16:A31"/>
    <mergeCell ref="A32:A34"/>
    <mergeCell ref="B16:B17"/>
    <mergeCell ref="B18:B19"/>
    <mergeCell ref="B20:B21"/>
    <mergeCell ref="B22:B23"/>
    <mergeCell ref="B24:B25"/>
    <mergeCell ref="B26:B27"/>
    <mergeCell ref="B28:B29"/>
    <mergeCell ref="B30:B31"/>
    <mergeCell ref="B1:D2"/>
  </mergeCells>
  <dataValidations count="1">
    <dataValidation type="list" allowBlank="1" showInputMessage="1" showErrorMessage="1" sqref="C8:N8">
      <formula1>委托单位信息!#REF!</formula1>
    </dataValidation>
  </dataValidations>
  <printOptions horizontalCentered="1"/>
  <pageMargins left="0.590277777777778" right="0.354166666666667" top="0.196527777777778" bottom="0.472222222222222" header="0.0784722222222222" footer="0.196527777777778"/>
  <pageSetup paperSize="9" orientation="portrait" horizontalDpi="6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N38"/>
  <sheetViews>
    <sheetView view="pageBreakPreview" zoomScaleNormal="100" workbookViewId="0">
      <selection activeCell="G14" sqref="G14:H14"/>
    </sheetView>
  </sheetViews>
  <sheetFormatPr defaultColWidth="9" defaultRowHeight="13.5"/>
  <cols>
    <col min="1" max="1" width="3.125" style="2" customWidth="1"/>
    <col min="2" max="2" width="8.5" style="2" customWidth="1"/>
    <col min="3" max="3" width="5.375" style="1" customWidth="1"/>
    <col min="4" max="4" width="7.625" style="1" customWidth="1"/>
    <col min="5" max="6" width="6" style="2" customWidth="1"/>
    <col min="7" max="7" width="6.25" style="1" customWidth="1"/>
    <col min="8" max="8" width="6.375" style="1" customWidth="1"/>
    <col min="9" max="9" width="8.125" style="1" customWidth="1"/>
    <col min="10" max="11" width="4.75" style="1" customWidth="1"/>
    <col min="12" max="12" width="5" style="1" customWidth="1"/>
    <col min="13" max="13" width="5.75" style="1" customWidth="1"/>
    <col min="14" max="14" width="11.875" style="1" customWidth="1"/>
  </cols>
  <sheetData>
    <row r="1" s="1" customFormat="1" ht="6" customHeight="1" spans="1:14">
      <c r="A1" s="3"/>
      <c r="B1" s="3"/>
      <c r="C1" s="3"/>
      <c r="D1" s="3"/>
      <c r="E1" s="2"/>
      <c r="F1" s="2"/>
      <c r="G1" s="4"/>
      <c r="H1" s="4"/>
      <c r="I1" s="4"/>
      <c r="J1" s="4"/>
      <c r="K1" s="4"/>
      <c r="L1" s="4"/>
      <c r="M1" s="4"/>
      <c r="N1" s="4"/>
    </row>
    <row r="2" s="1" customFormat="1" ht="6" customHeight="1" spans="1:14">
      <c r="A2" s="3"/>
      <c r="B2" s="3"/>
      <c r="C2" s="3"/>
      <c r="D2" s="3"/>
      <c r="E2" s="2"/>
      <c r="F2" s="2"/>
      <c r="G2" s="5"/>
      <c r="H2" s="5"/>
      <c r="I2" s="44"/>
      <c r="J2" s="44"/>
      <c r="K2" s="44"/>
      <c r="L2" s="44"/>
      <c r="M2" s="44"/>
      <c r="N2" s="44"/>
    </row>
    <row r="3" s="1" customFormat="1" ht="6" customHeight="1" spans="1:14">
      <c r="A3" s="3"/>
      <c r="B3" s="6"/>
      <c r="C3" s="6"/>
      <c r="D3" s="6"/>
      <c r="E3" s="3"/>
      <c r="F3" s="3"/>
      <c r="G3" s="7"/>
      <c r="H3" s="7"/>
      <c r="I3" s="45"/>
      <c r="J3" s="45"/>
      <c r="K3" s="45"/>
      <c r="L3" s="45"/>
      <c r="M3" s="45"/>
      <c r="N3" s="45"/>
    </row>
    <row r="4" s="1" customFormat="1" ht="6" customHeight="1" spans="1:14">
      <c r="A4" s="2"/>
      <c r="E4" s="2"/>
      <c r="F4" s="2"/>
      <c r="G4" s="8"/>
      <c r="H4" s="8"/>
      <c r="I4" s="4"/>
      <c r="J4" s="4"/>
      <c r="K4" s="4"/>
      <c r="L4" s="4"/>
      <c r="M4" s="4"/>
      <c r="N4" s="4"/>
    </row>
    <row r="5" ht="20" customHeight="1" spans="1:14">
      <c r="A5" s="9" t="s">
        <v>88</v>
      </c>
      <c r="B5" s="9"/>
      <c r="C5" s="10"/>
      <c r="D5" s="10"/>
      <c r="E5" s="9"/>
      <c r="F5" s="9"/>
      <c r="G5" s="10"/>
      <c r="H5" s="10"/>
      <c r="I5" s="10"/>
      <c r="J5" s="10"/>
      <c r="K5" s="10"/>
      <c r="L5" s="10"/>
      <c r="M5" s="10"/>
      <c r="N5" s="10"/>
    </row>
    <row r="6" ht="25" customHeight="1" spans="1:14">
      <c r="A6" s="11" t="s">
        <v>89</v>
      </c>
      <c r="B6" s="11"/>
      <c r="C6" s="12"/>
      <c r="D6" s="12"/>
      <c r="E6" s="11"/>
      <c r="F6" s="11"/>
      <c r="G6" s="12"/>
      <c r="H6" s="12"/>
      <c r="I6" s="12"/>
      <c r="J6" s="12"/>
      <c r="K6" s="12"/>
      <c r="L6" s="12"/>
      <c r="M6" s="12"/>
      <c r="N6" s="12"/>
    </row>
    <row r="7" ht="23" customHeight="1" spans="1:14">
      <c r="A7" s="13" t="s">
        <v>90</v>
      </c>
      <c r="B7" s="13"/>
      <c r="C7" s="14" t="str">
        <f>VLOOKUP($C$8,委托单位信息!$B$3:$J$100,2,FALSE)</f>
        <v>四川同达建设有限公司</v>
      </c>
      <c r="D7" s="14"/>
      <c r="E7" s="14"/>
      <c r="F7" s="14"/>
      <c r="G7" s="14"/>
      <c r="H7" s="14"/>
      <c r="I7" s="46" t="s">
        <v>91</v>
      </c>
      <c r="J7" s="46"/>
      <c r="K7" s="14" t="str">
        <f>VLOOKUP($C$8,混凝土配合比检测!$B$5:$S$98,18,FALSE)</f>
        <v>010210-2021000136</v>
      </c>
      <c r="L7" s="14"/>
      <c r="M7" s="14"/>
      <c r="N7" s="14"/>
    </row>
    <row r="8" ht="39" customHeight="1" spans="1:14">
      <c r="A8" s="13" t="s">
        <v>92</v>
      </c>
      <c r="B8" s="13"/>
      <c r="C8" s="15" t="s">
        <v>38</v>
      </c>
      <c r="D8" s="15"/>
      <c r="E8" s="15"/>
      <c r="F8" s="15"/>
      <c r="G8" s="15"/>
      <c r="H8" s="15"/>
      <c r="I8" s="15"/>
      <c r="J8" s="15"/>
      <c r="K8" s="15"/>
      <c r="L8" s="15"/>
      <c r="M8" s="15"/>
      <c r="N8" s="15"/>
    </row>
    <row r="9" ht="23" customHeight="1" spans="1:14">
      <c r="A9" s="13" t="s">
        <v>94</v>
      </c>
      <c r="B9" s="13"/>
      <c r="C9" s="14" t="s">
        <v>45</v>
      </c>
      <c r="D9" s="14"/>
      <c r="E9" s="14"/>
      <c r="F9" s="14"/>
      <c r="G9" s="14"/>
      <c r="H9" s="14"/>
      <c r="I9" s="46" t="s">
        <v>95</v>
      </c>
      <c r="J9" s="46"/>
      <c r="K9" s="14" t="str">
        <f>VLOOKUP($C$8,委托单位信息!$B$3:$J$100,9,FALSE)</f>
        <v>有见证取样送检</v>
      </c>
      <c r="L9" s="14"/>
      <c r="M9" s="14"/>
      <c r="N9" s="14"/>
    </row>
    <row r="10" ht="23" customHeight="1" spans="1:14">
      <c r="A10" s="13" t="s">
        <v>96</v>
      </c>
      <c r="B10" s="13"/>
      <c r="C10" s="14" t="s">
        <v>45</v>
      </c>
      <c r="D10" s="14"/>
      <c r="E10" s="14"/>
      <c r="F10" s="14"/>
      <c r="G10" s="14"/>
      <c r="H10" s="14"/>
      <c r="I10" s="46" t="s">
        <v>97</v>
      </c>
      <c r="J10" s="46"/>
      <c r="K10" s="14" t="s">
        <v>98</v>
      </c>
      <c r="L10" s="14"/>
      <c r="M10" s="14"/>
      <c r="N10" s="14"/>
    </row>
    <row r="11" ht="23" customHeight="1" spans="1:14">
      <c r="A11" s="13" t="s">
        <v>99</v>
      </c>
      <c r="B11" s="13"/>
      <c r="C11" s="14" t="str">
        <f>VLOOKUP($C$8,委托单位信息!$B$3:$J$100,4,FALSE)</f>
        <v>兴文县城市建设投资有限责任公司</v>
      </c>
      <c r="D11" s="14"/>
      <c r="E11" s="14"/>
      <c r="F11" s="14"/>
      <c r="G11" s="14"/>
      <c r="H11" s="14"/>
      <c r="I11" s="46" t="s">
        <v>100</v>
      </c>
      <c r="J11" s="46"/>
      <c r="K11" s="14" t="str">
        <f>VLOOKUP($C$8,委托单位信息!$B$3:$J$100,5,FALSE)</f>
        <v>徐洋</v>
      </c>
      <c r="L11" s="14"/>
      <c r="M11" s="14"/>
      <c r="N11" s="14"/>
    </row>
    <row r="12" ht="23" customHeight="1" spans="1:14">
      <c r="A12" s="13" t="s">
        <v>101</v>
      </c>
      <c r="B12" s="13"/>
      <c r="C12" s="16">
        <f>VLOOKUP($C$8,混凝土配合比检测!$B$5:$S$98,17,FALSE)</f>
        <v>44457</v>
      </c>
      <c r="D12" s="16"/>
      <c r="E12" s="13" t="s">
        <v>102</v>
      </c>
      <c r="F12" s="13"/>
      <c r="G12" s="16">
        <f>G14+28</f>
        <v>44488</v>
      </c>
      <c r="H12" s="16"/>
      <c r="I12" s="46" t="s">
        <v>103</v>
      </c>
      <c r="J12" s="46"/>
      <c r="K12" s="16">
        <f>G12+2</f>
        <v>44490</v>
      </c>
      <c r="L12" s="16"/>
      <c r="M12" s="16"/>
      <c r="N12" s="16"/>
    </row>
    <row r="13" ht="9" customHeight="1" spans="1:14">
      <c r="A13" s="17"/>
      <c r="B13" s="17"/>
      <c r="C13" s="18"/>
      <c r="D13" s="18"/>
      <c r="E13" s="17"/>
      <c r="F13" s="17"/>
      <c r="G13" s="18"/>
      <c r="H13" s="18"/>
      <c r="I13" s="18"/>
      <c r="J13" s="25"/>
      <c r="K13" s="25"/>
      <c r="L13" s="25"/>
      <c r="M13" s="25"/>
      <c r="N13" s="18"/>
    </row>
    <row r="14" ht="20" customHeight="1" spans="1:14">
      <c r="A14" s="19" t="s">
        <v>104</v>
      </c>
      <c r="B14" s="19"/>
      <c r="C14" s="20" t="s">
        <v>143</v>
      </c>
      <c r="D14" s="20"/>
      <c r="E14" s="21" t="s">
        <v>106</v>
      </c>
      <c r="F14" s="22"/>
      <c r="G14" s="23">
        <f>C12+3</f>
        <v>44460</v>
      </c>
      <c r="H14" s="24"/>
      <c r="I14" s="47" t="s">
        <v>107</v>
      </c>
      <c r="J14" s="48"/>
      <c r="K14" s="49" t="s">
        <v>108</v>
      </c>
      <c r="L14" s="49"/>
      <c r="M14" s="49"/>
      <c r="N14" s="48"/>
    </row>
    <row r="15" ht="8" customHeight="1" spans="1:14">
      <c r="A15" s="17"/>
      <c r="B15" s="17"/>
      <c r="C15" s="25"/>
      <c r="D15" s="25"/>
      <c r="E15" s="17"/>
      <c r="F15" s="17"/>
      <c r="G15" s="25"/>
      <c r="H15" s="25"/>
      <c r="I15" s="25"/>
      <c r="J15" s="25"/>
      <c r="K15" s="25"/>
      <c r="L15" s="25"/>
      <c r="M15" s="25"/>
      <c r="N15" s="25"/>
    </row>
    <row r="16" ht="18" customHeight="1" spans="1:14">
      <c r="A16" s="19" t="s">
        <v>109</v>
      </c>
      <c r="B16" s="20" t="s">
        <v>53</v>
      </c>
      <c r="C16" s="26" t="s">
        <v>110</v>
      </c>
      <c r="D16" s="26"/>
      <c r="E16" s="27" t="str">
        <f>VLOOKUP($C$8,混凝土配合比检测!$B$5:$S$98,6,FALSE)</f>
        <v>P·C42.5R</v>
      </c>
      <c r="F16" s="27"/>
      <c r="G16" s="28" t="s">
        <v>111</v>
      </c>
      <c r="H16" s="29" t="str">
        <f>VLOOKUP($C$8,混凝土配合比检测!$B$5:$S$98,8,FALSE)</f>
        <v>3Z-0235</v>
      </c>
      <c r="I16" s="29"/>
      <c r="J16" s="29" t="s">
        <v>112</v>
      </c>
      <c r="K16" s="29"/>
      <c r="L16" s="29"/>
      <c r="M16" s="79">
        <f>VLOOKUP($C$8,混凝土配合比检测!$B$5:$S$98,7,FALSE)</f>
        <v>44431</v>
      </c>
      <c r="N16" s="80"/>
    </row>
    <row r="17" ht="18" customHeight="1" spans="1:14">
      <c r="A17" s="19"/>
      <c r="B17" s="20"/>
      <c r="C17" s="30" t="s">
        <v>113</v>
      </c>
      <c r="D17" s="30"/>
      <c r="E17" s="31" t="str">
        <f>VLOOKUP($C$8,混凝土配合比检测!$B$5:$S$98,5,FALSE)</f>
        <v>兴文瑞兴水泥厂</v>
      </c>
      <c r="F17" s="31"/>
      <c r="G17" s="30"/>
      <c r="H17" s="30"/>
      <c r="I17" s="30"/>
      <c r="J17" s="52" t="s">
        <v>91</v>
      </c>
      <c r="K17" s="52"/>
      <c r="L17" s="52"/>
      <c r="M17" s="77" t="str">
        <f>VLOOKUP($C$8,混凝土配合比检测!$B$5:$S$98,10,FALSE)</f>
        <v>010601-2021000214</v>
      </c>
      <c r="N17" s="78"/>
    </row>
    <row r="18" ht="18" customHeight="1" spans="1:14">
      <c r="A18" s="19"/>
      <c r="B18" s="20" t="s">
        <v>114</v>
      </c>
      <c r="C18" s="26" t="s">
        <v>110</v>
      </c>
      <c r="D18" s="26"/>
      <c r="E18" s="32" t="str">
        <f>VLOOKUP($C$8,混凝土配合比检测!$B$5:$S$98,11,FALSE)</f>
        <v>天成石粉厂</v>
      </c>
      <c r="F18" s="32"/>
      <c r="G18" s="26"/>
      <c r="H18" s="26"/>
      <c r="I18" s="26"/>
      <c r="J18" s="29" t="s">
        <v>115</v>
      </c>
      <c r="K18" s="29"/>
      <c r="L18" s="29"/>
      <c r="M18" s="79" t="s">
        <v>45</v>
      </c>
      <c r="N18" s="80"/>
    </row>
    <row r="19" ht="18" customHeight="1" spans="1:14">
      <c r="A19" s="19"/>
      <c r="B19" s="20"/>
      <c r="C19" s="30" t="s">
        <v>116</v>
      </c>
      <c r="D19" s="30"/>
      <c r="E19" s="31" t="str">
        <f>VLOOKUP($C$8,混凝土配合比检测!$B$5:$S$98,11,FALSE)</f>
        <v>天成石粉厂</v>
      </c>
      <c r="F19" s="31"/>
      <c r="G19" s="30"/>
      <c r="H19" s="30"/>
      <c r="I19" s="30"/>
      <c r="J19" s="52" t="s">
        <v>91</v>
      </c>
      <c r="K19" s="52"/>
      <c r="L19" s="52"/>
      <c r="M19" s="77" t="str">
        <f>VLOOKUP($C$8,混凝土配合比检测!$B$5:$S$98,13,FALSE)</f>
        <v>150502-2021000015</v>
      </c>
      <c r="N19" s="78"/>
    </row>
    <row r="20" ht="18" customHeight="1" spans="1:14">
      <c r="A20" s="19"/>
      <c r="B20" s="20" t="s">
        <v>117</v>
      </c>
      <c r="C20" s="26" t="s">
        <v>110</v>
      </c>
      <c r="D20" s="26"/>
      <c r="E20" s="32" t="s">
        <v>45</v>
      </c>
      <c r="F20" s="32"/>
      <c r="G20" s="26"/>
      <c r="H20" s="26"/>
      <c r="I20" s="26"/>
      <c r="J20" s="29" t="s">
        <v>115</v>
      </c>
      <c r="K20" s="29"/>
      <c r="L20" s="29"/>
      <c r="M20" s="79" t="s">
        <v>45</v>
      </c>
      <c r="N20" s="80"/>
    </row>
    <row r="21" ht="18" customHeight="1" spans="1:14">
      <c r="A21" s="19"/>
      <c r="B21" s="20"/>
      <c r="C21" s="30" t="s">
        <v>116</v>
      </c>
      <c r="D21" s="30"/>
      <c r="E21" s="31" t="s">
        <v>45</v>
      </c>
      <c r="F21" s="31"/>
      <c r="G21" s="30"/>
      <c r="H21" s="30"/>
      <c r="I21" s="30"/>
      <c r="J21" s="52" t="s">
        <v>91</v>
      </c>
      <c r="K21" s="52"/>
      <c r="L21" s="52"/>
      <c r="M21" s="77" t="s">
        <v>45</v>
      </c>
      <c r="N21" s="78"/>
    </row>
    <row r="22" ht="18" customHeight="1" spans="1:14">
      <c r="A22" s="19"/>
      <c r="B22" s="20" t="s">
        <v>118</v>
      </c>
      <c r="C22" s="26" t="s">
        <v>110</v>
      </c>
      <c r="D22" s="26"/>
      <c r="E22" s="32" t="s">
        <v>119</v>
      </c>
      <c r="F22" s="32"/>
      <c r="G22" s="26"/>
      <c r="H22" s="26"/>
      <c r="I22" s="26"/>
      <c r="J22" s="29" t="s">
        <v>120</v>
      </c>
      <c r="K22" s="29"/>
      <c r="L22" s="29"/>
      <c r="M22" s="81" t="s">
        <v>121</v>
      </c>
      <c r="N22" s="82"/>
    </row>
    <row r="23" ht="18" customHeight="1" spans="1:14">
      <c r="A23" s="19"/>
      <c r="B23" s="20"/>
      <c r="C23" s="30" t="s">
        <v>116</v>
      </c>
      <c r="D23" s="30"/>
      <c r="E23" s="31" t="str">
        <f>VLOOKUP($C$8,混凝土配合比检测!$B$5:$S$98,14,FALSE)</f>
        <v>天成石粉厂</v>
      </c>
      <c r="F23" s="31"/>
      <c r="G23" s="30"/>
      <c r="H23" s="30"/>
      <c r="I23" s="30"/>
      <c r="J23" s="52" t="s">
        <v>91</v>
      </c>
      <c r="K23" s="52"/>
      <c r="L23" s="52"/>
      <c r="M23" s="77" t="str">
        <f>VLOOKUP($C$8,混凝土配合比检测!$B$5:$S$98,16,FALSE)</f>
        <v>150504-2021000015</v>
      </c>
      <c r="N23" s="78"/>
    </row>
    <row r="24" ht="18" customHeight="1" spans="1:14">
      <c r="A24" s="19"/>
      <c r="B24" s="20" t="s">
        <v>122</v>
      </c>
      <c r="C24" s="26" t="s">
        <v>110</v>
      </c>
      <c r="D24" s="26"/>
      <c r="E24" s="32" t="s">
        <v>45</v>
      </c>
      <c r="F24" s="32"/>
      <c r="G24" s="26"/>
      <c r="H24" s="26"/>
      <c r="I24" s="26"/>
      <c r="J24" s="29" t="s">
        <v>120</v>
      </c>
      <c r="K24" s="29"/>
      <c r="L24" s="29"/>
      <c r="M24" s="79" t="s">
        <v>45</v>
      </c>
      <c r="N24" s="80"/>
    </row>
    <row r="25" ht="18" customHeight="1" spans="1:14">
      <c r="A25" s="19"/>
      <c r="B25" s="20"/>
      <c r="C25" s="30" t="s">
        <v>116</v>
      </c>
      <c r="D25" s="30"/>
      <c r="E25" s="31" t="s">
        <v>45</v>
      </c>
      <c r="F25" s="31"/>
      <c r="G25" s="30"/>
      <c r="H25" s="30"/>
      <c r="I25" s="30"/>
      <c r="J25" s="52" t="s">
        <v>91</v>
      </c>
      <c r="K25" s="52"/>
      <c r="L25" s="52"/>
      <c r="M25" s="77" t="s">
        <v>45</v>
      </c>
      <c r="N25" s="78"/>
    </row>
    <row r="26" ht="18" customHeight="1" spans="1:14">
      <c r="A26" s="19"/>
      <c r="B26" s="20" t="s">
        <v>123</v>
      </c>
      <c r="C26" s="26" t="s">
        <v>124</v>
      </c>
      <c r="D26" s="26"/>
      <c r="E26" s="32" t="s">
        <v>45</v>
      </c>
      <c r="F26" s="32"/>
      <c r="G26" s="26"/>
      <c r="H26" s="26"/>
      <c r="I26" s="26"/>
      <c r="J26" s="29" t="s">
        <v>125</v>
      </c>
      <c r="K26" s="29"/>
      <c r="L26" s="29"/>
      <c r="M26" s="79" t="s">
        <v>45</v>
      </c>
      <c r="N26" s="80"/>
    </row>
    <row r="27" ht="18" customHeight="1" spans="1:14">
      <c r="A27" s="19"/>
      <c r="B27" s="20"/>
      <c r="C27" s="30" t="s">
        <v>116</v>
      </c>
      <c r="D27" s="30"/>
      <c r="E27" s="31" t="s">
        <v>45</v>
      </c>
      <c r="F27" s="31"/>
      <c r="G27" s="30"/>
      <c r="H27" s="30"/>
      <c r="I27" s="30"/>
      <c r="J27" s="52" t="s">
        <v>91</v>
      </c>
      <c r="K27" s="52"/>
      <c r="L27" s="52"/>
      <c r="M27" s="77" t="s">
        <v>45</v>
      </c>
      <c r="N27" s="78"/>
    </row>
    <row r="28" ht="18" customHeight="1" spans="1:14">
      <c r="A28" s="19"/>
      <c r="B28" s="20" t="s">
        <v>126</v>
      </c>
      <c r="C28" s="26" t="s">
        <v>124</v>
      </c>
      <c r="D28" s="26"/>
      <c r="E28" s="32" t="s">
        <v>45</v>
      </c>
      <c r="F28" s="32"/>
      <c r="G28" s="26"/>
      <c r="H28" s="26"/>
      <c r="I28" s="26"/>
      <c r="J28" s="29" t="s">
        <v>125</v>
      </c>
      <c r="K28" s="29"/>
      <c r="L28" s="29"/>
      <c r="M28" s="79" t="s">
        <v>45</v>
      </c>
      <c r="N28" s="80"/>
    </row>
    <row r="29" ht="18" customHeight="1" spans="1:14">
      <c r="A29" s="19"/>
      <c r="B29" s="20"/>
      <c r="C29" s="30" t="s">
        <v>116</v>
      </c>
      <c r="D29" s="30"/>
      <c r="E29" s="31" t="s">
        <v>45</v>
      </c>
      <c r="F29" s="31"/>
      <c r="G29" s="30"/>
      <c r="H29" s="30"/>
      <c r="I29" s="30"/>
      <c r="J29" s="52" t="s">
        <v>91</v>
      </c>
      <c r="K29" s="52"/>
      <c r="L29" s="52"/>
      <c r="M29" s="77" t="s">
        <v>45</v>
      </c>
      <c r="N29" s="78"/>
    </row>
    <row r="30" ht="18" customHeight="1" spans="1:14">
      <c r="A30" s="19"/>
      <c r="B30" s="20" t="s">
        <v>127</v>
      </c>
      <c r="C30" s="26" t="s">
        <v>124</v>
      </c>
      <c r="D30" s="26"/>
      <c r="E30" s="32" t="s">
        <v>45</v>
      </c>
      <c r="F30" s="32"/>
      <c r="G30" s="26"/>
      <c r="H30" s="26"/>
      <c r="I30" s="26"/>
      <c r="J30" s="29" t="s">
        <v>125</v>
      </c>
      <c r="K30" s="29"/>
      <c r="L30" s="29"/>
      <c r="M30" s="79" t="s">
        <v>45</v>
      </c>
      <c r="N30" s="80"/>
    </row>
    <row r="31" ht="18" customHeight="1" spans="1:14">
      <c r="A31" s="19"/>
      <c r="B31" s="20"/>
      <c r="C31" s="33" t="s">
        <v>116</v>
      </c>
      <c r="D31" s="33"/>
      <c r="E31" s="34" t="s">
        <v>45</v>
      </c>
      <c r="F31" s="34"/>
      <c r="G31" s="33"/>
      <c r="H31" s="33"/>
      <c r="I31" s="33"/>
      <c r="J31" s="57" t="s">
        <v>91</v>
      </c>
      <c r="K31" s="57"/>
      <c r="L31" s="57"/>
      <c r="M31" s="84" t="s">
        <v>45</v>
      </c>
      <c r="N31" s="85"/>
    </row>
    <row r="32" s="2" customFormat="1" ht="32" customHeight="1" spans="1:14">
      <c r="A32" s="19" t="s">
        <v>128</v>
      </c>
      <c r="B32" s="19" t="s">
        <v>129</v>
      </c>
      <c r="C32" s="35"/>
      <c r="D32" s="35" t="s">
        <v>53</v>
      </c>
      <c r="E32" s="35" t="s">
        <v>114</v>
      </c>
      <c r="F32" s="35" t="s">
        <v>117</v>
      </c>
      <c r="G32" s="35" t="s">
        <v>118</v>
      </c>
      <c r="H32" s="35" t="s">
        <v>122</v>
      </c>
      <c r="I32" s="35" t="s">
        <v>123</v>
      </c>
      <c r="J32" s="60" t="s">
        <v>130</v>
      </c>
      <c r="K32" s="61"/>
      <c r="L32" s="60" t="s">
        <v>131</v>
      </c>
      <c r="M32" s="61"/>
      <c r="N32" s="35" t="s">
        <v>132</v>
      </c>
    </row>
    <row r="33" ht="25" customHeight="1" spans="1:14">
      <c r="A33" s="19"/>
      <c r="B33" s="20" t="s">
        <v>133</v>
      </c>
      <c r="C33" s="20"/>
      <c r="D33" s="20">
        <v>310</v>
      </c>
      <c r="E33" s="19">
        <v>895</v>
      </c>
      <c r="F33" s="19" t="s">
        <v>134</v>
      </c>
      <c r="G33" s="20">
        <v>970</v>
      </c>
      <c r="H33" s="20" t="s">
        <v>134</v>
      </c>
      <c r="I33" s="20" t="s">
        <v>134</v>
      </c>
      <c r="J33" s="21" t="s">
        <v>134</v>
      </c>
      <c r="K33" s="22"/>
      <c r="L33" s="21" t="s">
        <v>134</v>
      </c>
      <c r="M33" s="22"/>
      <c r="N33" s="20">
        <v>195</v>
      </c>
    </row>
    <row r="34" ht="25" customHeight="1" spans="1:14">
      <c r="A34" s="19"/>
      <c r="B34" s="20" t="s">
        <v>135</v>
      </c>
      <c r="C34" s="20"/>
      <c r="D34" s="36">
        <v>1</v>
      </c>
      <c r="E34" s="19">
        <v>2.89</v>
      </c>
      <c r="F34" s="19" t="s">
        <v>134</v>
      </c>
      <c r="G34" s="20">
        <v>3.13</v>
      </c>
      <c r="H34" s="20" t="s">
        <v>134</v>
      </c>
      <c r="I34" s="20" t="s">
        <v>134</v>
      </c>
      <c r="J34" s="21" t="s">
        <v>134</v>
      </c>
      <c r="K34" s="22"/>
      <c r="L34" s="21" t="s">
        <v>134</v>
      </c>
      <c r="M34" s="22"/>
      <c r="N34" s="20">
        <v>0.63</v>
      </c>
    </row>
    <row r="35" ht="32" customHeight="1" spans="1:14">
      <c r="A35" s="21" t="s">
        <v>11</v>
      </c>
      <c r="B35" s="37"/>
      <c r="C35" s="38" t="s">
        <v>136</v>
      </c>
      <c r="D35" s="39"/>
      <c r="E35" s="39"/>
      <c r="F35" s="39"/>
      <c r="G35" s="39"/>
      <c r="H35" s="39"/>
      <c r="I35" s="39"/>
      <c r="J35" s="39"/>
      <c r="K35" s="39"/>
      <c r="L35" s="39"/>
      <c r="M35" s="39"/>
      <c r="N35" s="62"/>
    </row>
    <row r="36" ht="45" customHeight="1" spans="1:14">
      <c r="A36" s="40" t="s">
        <v>137</v>
      </c>
      <c r="B36" s="40"/>
      <c r="C36" s="40"/>
      <c r="D36" s="40"/>
      <c r="E36" s="40"/>
      <c r="F36" s="40"/>
      <c r="G36" s="40"/>
      <c r="H36" s="40"/>
      <c r="I36" s="40"/>
      <c r="J36" s="40"/>
      <c r="K36" s="40"/>
      <c r="L36" s="40"/>
      <c r="M36" s="40"/>
      <c r="N36" s="40"/>
    </row>
    <row r="37" ht="56" customHeight="1" spans="1:14">
      <c r="A37" s="17" t="s">
        <v>138</v>
      </c>
      <c r="B37" s="17"/>
      <c r="C37" s="40"/>
      <c r="D37" s="40"/>
      <c r="E37" s="41" t="s">
        <v>139</v>
      </c>
      <c r="F37" s="41"/>
      <c r="G37" s="40"/>
      <c r="H37" s="40"/>
      <c r="I37" s="40"/>
      <c r="J37" s="17" t="s">
        <v>140</v>
      </c>
      <c r="K37" s="17"/>
      <c r="L37" s="40"/>
      <c r="M37" s="40"/>
      <c r="N37" s="40"/>
    </row>
    <row r="38" ht="27" customHeight="1" spans="1:14">
      <c r="A38" s="42" t="s">
        <v>141</v>
      </c>
      <c r="B38" s="42"/>
      <c r="C38" s="42"/>
      <c r="D38" s="42"/>
      <c r="E38" s="42"/>
      <c r="F38" s="42"/>
      <c r="G38" s="42"/>
      <c r="H38" s="43"/>
      <c r="I38" s="43"/>
      <c r="J38" s="42" t="s">
        <v>142</v>
      </c>
      <c r="K38" s="42"/>
      <c r="L38" s="42"/>
      <c r="M38" s="42"/>
      <c r="N38" s="42"/>
    </row>
  </sheetData>
  <mergeCells count="129">
    <mergeCell ref="G1:N1"/>
    <mergeCell ref="I2:N2"/>
    <mergeCell ref="I3:N3"/>
    <mergeCell ref="A5:N5"/>
    <mergeCell ref="A6:N6"/>
    <mergeCell ref="A7:B7"/>
    <mergeCell ref="C7:H7"/>
    <mergeCell ref="I7:J7"/>
    <mergeCell ref="K7:N7"/>
    <mergeCell ref="A8:B8"/>
    <mergeCell ref="C8:N8"/>
    <mergeCell ref="A9:B9"/>
    <mergeCell ref="C9:H9"/>
    <mergeCell ref="I9:J9"/>
    <mergeCell ref="K9:N9"/>
    <mergeCell ref="A10:B10"/>
    <mergeCell ref="C10:H10"/>
    <mergeCell ref="I10:J10"/>
    <mergeCell ref="K10:N10"/>
    <mergeCell ref="A11:B11"/>
    <mergeCell ref="C11:H11"/>
    <mergeCell ref="I11:J11"/>
    <mergeCell ref="K11:N11"/>
    <mergeCell ref="A12:B12"/>
    <mergeCell ref="C12:D12"/>
    <mergeCell ref="E12:F12"/>
    <mergeCell ref="G12:H12"/>
    <mergeCell ref="I12:J12"/>
    <mergeCell ref="K12:N12"/>
    <mergeCell ref="A14:B14"/>
    <mergeCell ref="C14:D14"/>
    <mergeCell ref="E14:F14"/>
    <mergeCell ref="G14:H14"/>
    <mergeCell ref="I14:J14"/>
    <mergeCell ref="K14:N14"/>
    <mergeCell ref="C16:D16"/>
    <mergeCell ref="E16:F16"/>
    <mergeCell ref="H16:I16"/>
    <mergeCell ref="J16:L16"/>
    <mergeCell ref="M16:N16"/>
    <mergeCell ref="C17:D17"/>
    <mergeCell ref="E17:I17"/>
    <mergeCell ref="J17:L17"/>
    <mergeCell ref="M17:N17"/>
    <mergeCell ref="C18:D18"/>
    <mergeCell ref="E18:I18"/>
    <mergeCell ref="J18:L18"/>
    <mergeCell ref="M18:N18"/>
    <mergeCell ref="C19:D19"/>
    <mergeCell ref="E19:I19"/>
    <mergeCell ref="J19:L19"/>
    <mergeCell ref="M19:N19"/>
    <mergeCell ref="C20:D20"/>
    <mergeCell ref="E20:I20"/>
    <mergeCell ref="J20:L20"/>
    <mergeCell ref="M20:N20"/>
    <mergeCell ref="C21:D21"/>
    <mergeCell ref="E21:I21"/>
    <mergeCell ref="J21:L21"/>
    <mergeCell ref="M21:N21"/>
    <mergeCell ref="C22:D22"/>
    <mergeCell ref="E22:I22"/>
    <mergeCell ref="J22:L22"/>
    <mergeCell ref="M22:N22"/>
    <mergeCell ref="C23:D23"/>
    <mergeCell ref="E23:I23"/>
    <mergeCell ref="J23:L23"/>
    <mergeCell ref="M23:N23"/>
    <mergeCell ref="C24:D24"/>
    <mergeCell ref="E24:I24"/>
    <mergeCell ref="J24:L24"/>
    <mergeCell ref="M24:N24"/>
    <mergeCell ref="C25:D25"/>
    <mergeCell ref="E25:I25"/>
    <mergeCell ref="J25:L25"/>
    <mergeCell ref="M25:N25"/>
    <mergeCell ref="C26:D26"/>
    <mergeCell ref="E26:I26"/>
    <mergeCell ref="J26:L26"/>
    <mergeCell ref="M26:N26"/>
    <mergeCell ref="C27:D27"/>
    <mergeCell ref="E27:I27"/>
    <mergeCell ref="J27:L27"/>
    <mergeCell ref="M27:N27"/>
    <mergeCell ref="C28:D28"/>
    <mergeCell ref="E28:I28"/>
    <mergeCell ref="J28:L28"/>
    <mergeCell ref="M28:N28"/>
    <mergeCell ref="C29:D29"/>
    <mergeCell ref="E29:I29"/>
    <mergeCell ref="J29:L29"/>
    <mergeCell ref="M29:N29"/>
    <mergeCell ref="C30:D30"/>
    <mergeCell ref="E30:I30"/>
    <mergeCell ref="J30:L30"/>
    <mergeCell ref="M30:N30"/>
    <mergeCell ref="C31:D31"/>
    <mergeCell ref="E31:I31"/>
    <mergeCell ref="J31:L31"/>
    <mergeCell ref="M31:N31"/>
    <mergeCell ref="B32:C32"/>
    <mergeCell ref="J32:K32"/>
    <mergeCell ref="L32:M32"/>
    <mergeCell ref="B33:C33"/>
    <mergeCell ref="J33:K33"/>
    <mergeCell ref="L33:M33"/>
    <mergeCell ref="B34:C34"/>
    <mergeCell ref="J34:K34"/>
    <mergeCell ref="L34:M34"/>
    <mergeCell ref="A35:B35"/>
    <mergeCell ref="C35:N35"/>
    <mergeCell ref="A36:N36"/>
    <mergeCell ref="A37:B37"/>
    <mergeCell ref="E37:F37"/>
    <mergeCell ref="J37:K37"/>
    <mergeCell ref="A38:G38"/>
    <mergeCell ref="J38:N38"/>
    <mergeCell ref="A1:A2"/>
    <mergeCell ref="A16:A31"/>
    <mergeCell ref="A32:A34"/>
    <mergeCell ref="B16:B17"/>
    <mergeCell ref="B18:B19"/>
    <mergeCell ref="B20:B21"/>
    <mergeCell ref="B22:B23"/>
    <mergeCell ref="B24:B25"/>
    <mergeCell ref="B26:B27"/>
    <mergeCell ref="B28:B29"/>
    <mergeCell ref="B30:B31"/>
    <mergeCell ref="B1:D2"/>
  </mergeCells>
  <dataValidations count="1">
    <dataValidation type="list" allowBlank="1" showInputMessage="1" showErrorMessage="1" sqref="C8:N8">
      <formula1>委托单位信息!$B$3:$B$100</formula1>
    </dataValidation>
  </dataValidations>
  <printOptions horizontalCentered="1"/>
  <pageMargins left="0.590277777777778" right="0.354166666666667" top="0.196527777777778" bottom="0.472222222222222" header="0.0784722222222222" footer="0.196527777777778"/>
  <pageSetup paperSize="9" orientation="portrait" horizontalDpi="600"/>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N38"/>
  <sheetViews>
    <sheetView view="pageBreakPreview" zoomScaleNormal="100" workbookViewId="0">
      <selection activeCell="C8" sqref="C8:N8"/>
    </sheetView>
  </sheetViews>
  <sheetFormatPr defaultColWidth="9" defaultRowHeight="13.5"/>
  <cols>
    <col min="1" max="1" width="3.125" style="2" customWidth="1"/>
    <col min="2" max="2" width="8.5" style="2" customWidth="1"/>
    <col min="3" max="3" width="5.375" style="1" customWidth="1"/>
    <col min="4" max="4" width="7.625" style="1" customWidth="1"/>
    <col min="5" max="6" width="6" style="2" customWidth="1"/>
    <col min="7" max="7" width="6.25" style="1" customWidth="1"/>
    <col min="8" max="8" width="6.375" style="1" customWidth="1"/>
    <col min="9" max="9" width="8.125" style="1" customWidth="1"/>
    <col min="10" max="11" width="4.75" style="1" customWidth="1"/>
    <col min="12" max="12" width="5" style="1" customWidth="1"/>
    <col min="13" max="13" width="5.75" style="1" customWidth="1"/>
    <col min="14" max="14" width="11.875" style="1" customWidth="1"/>
  </cols>
  <sheetData>
    <row r="1" s="1" customFormat="1" ht="6" customHeight="1" spans="1:14">
      <c r="A1" s="3"/>
      <c r="B1" s="3"/>
      <c r="C1" s="3"/>
      <c r="D1" s="3"/>
      <c r="E1" s="2"/>
      <c r="F1" s="2"/>
      <c r="G1" s="4"/>
      <c r="H1" s="4"/>
      <c r="I1" s="4"/>
      <c r="J1" s="4"/>
      <c r="K1" s="4"/>
      <c r="L1" s="4"/>
      <c r="M1" s="4"/>
      <c r="N1" s="4"/>
    </row>
    <row r="2" s="1" customFormat="1" ht="6" customHeight="1" spans="1:14">
      <c r="A2" s="3"/>
      <c r="B2" s="3"/>
      <c r="C2" s="3"/>
      <c r="D2" s="3"/>
      <c r="E2" s="2"/>
      <c r="F2" s="2"/>
      <c r="G2" s="5"/>
      <c r="H2" s="5"/>
      <c r="I2" s="44"/>
      <c r="J2" s="44"/>
      <c r="K2" s="44"/>
      <c r="L2" s="44"/>
      <c r="M2" s="44"/>
      <c r="N2" s="44"/>
    </row>
    <row r="3" s="1" customFormat="1" ht="6" customHeight="1" spans="1:14">
      <c r="A3" s="3"/>
      <c r="B3" s="6"/>
      <c r="C3" s="6"/>
      <c r="D3" s="6"/>
      <c r="E3" s="3"/>
      <c r="F3" s="3"/>
      <c r="G3" s="7"/>
      <c r="H3" s="7"/>
      <c r="I3" s="45"/>
      <c r="J3" s="45"/>
      <c r="K3" s="45"/>
      <c r="L3" s="45"/>
      <c r="M3" s="45"/>
      <c r="N3" s="45"/>
    </row>
    <row r="4" s="1" customFormat="1" ht="6" customHeight="1" spans="1:14">
      <c r="A4" s="2"/>
      <c r="E4" s="2"/>
      <c r="F4" s="2"/>
      <c r="G4" s="8"/>
      <c r="H4" s="8"/>
      <c r="I4" s="4"/>
      <c r="J4" s="4"/>
      <c r="K4" s="4"/>
      <c r="L4" s="4"/>
      <c r="M4" s="4"/>
      <c r="N4" s="4"/>
    </row>
    <row r="5" ht="20" customHeight="1" spans="1:14">
      <c r="A5" s="9" t="s">
        <v>88</v>
      </c>
      <c r="B5" s="9"/>
      <c r="C5" s="10"/>
      <c r="D5" s="10"/>
      <c r="E5" s="9"/>
      <c r="F5" s="9"/>
      <c r="G5" s="10"/>
      <c r="H5" s="10"/>
      <c r="I5" s="10"/>
      <c r="J5" s="10"/>
      <c r="K5" s="10"/>
      <c r="L5" s="10"/>
      <c r="M5" s="10"/>
      <c r="N5" s="10"/>
    </row>
    <row r="6" ht="25" customHeight="1" spans="1:14">
      <c r="A6" s="11" t="s">
        <v>89</v>
      </c>
      <c r="B6" s="11"/>
      <c r="C6" s="12"/>
      <c r="D6" s="12"/>
      <c r="E6" s="11"/>
      <c r="F6" s="11"/>
      <c r="G6" s="12"/>
      <c r="H6" s="12"/>
      <c r="I6" s="12"/>
      <c r="J6" s="12"/>
      <c r="K6" s="12"/>
      <c r="L6" s="12"/>
      <c r="M6" s="12"/>
      <c r="N6" s="12"/>
    </row>
    <row r="7" ht="23" customHeight="1" spans="1:14">
      <c r="A7" s="13" t="s">
        <v>90</v>
      </c>
      <c r="B7" s="13"/>
      <c r="C7" s="14" t="str">
        <f>VLOOKUP($C$8,委托单位信息!$B$3:$J$9,2,FALSE)</f>
        <v>新疆地质工程有限公司</v>
      </c>
      <c r="D7" s="14"/>
      <c r="E7" s="14"/>
      <c r="F7" s="14"/>
      <c r="G7" s="14"/>
      <c r="H7" s="14"/>
      <c r="I7" s="46" t="s">
        <v>91</v>
      </c>
      <c r="J7" s="46"/>
      <c r="K7" s="14" t="e">
        <f>VLOOKUP($C$8,混凝土配合比检测!$B$5:$S$98,18,FALSE)</f>
        <v>#N/A</v>
      </c>
      <c r="L7" s="14"/>
      <c r="M7" s="14"/>
      <c r="N7" s="14"/>
    </row>
    <row r="8" ht="40" customHeight="1" spans="1:14">
      <c r="A8" s="13" t="s">
        <v>92</v>
      </c>
      <c r="B8" s="13"/>
      <c r="C8" s="15" t="s">
        <v>93</v>
      </c>
      <c r="D8" s="15"/>
      <c r="E8" s="15"/>
      <c r="F8" s="15"/>
      <c r="G8" s="15"/>
      <c r="H8" s="15"/>
      <c r="I8" s="15"/>
      <c r="J8" s="15"/>
      <c r="K8" s="15"/>
      <c r="L8" s="15"/>
      <c r="M8" s="15"/>
      <c r="N8" s="15"/>
    </row>
    <row r="9" ht="23" customHeight="1" spans="1:14">
      <c r="A9" s="13" t="s">
        <v>94</v>
      </c>
      <c r="B9" s="13"/>
      <c r="C9" s="14" t="s">
        <v>45</v>
      </c>
      <c r="D9" s="14"/>
      <c r="E9" s="14"/>
      <c r="F9" s="14"/>
      <c r="G9" s="14"/>
      <c r="H9" s="14"/>
      <c r="I9" s="46" t="s">
        <v>95</v>
      </c>
      <c r="J9" s="46"/>
      <c r="K9" s="14" t="str">
        <f>VLOOKUP($C$8,委托单位信息!$B$3:$J$9,9,FALSE)</f>
        <v>有见证取样送检</v>
      </c>
      <c r="L9" s="14"/>
      <c r="M9" s="14"/>
      <c r="N9" s="14"/>
    </row>
    <row r="10" ht="23" customHeight="1" spans="1:14">
      <c r="A10" s="13" t="s">
        <v>96</v>
      </c>
      <c r="B10" s="13"/>
      <c r="C10" s="14" t="s">
        <v>45</v>
      </c>
      <c r="D10" s="14"/>
      <c r="E10" s="14"/>
      <c r="F10" s="14"/>
      <c r="G10" s="14"/>
      <c r="H10" s="14"/>
      <c r="I10" s="46" t="s">
        <v>97</v>
      </c>
      <c r="J10" s="46"/>
      <c r="K10" s="14" t="s">
        <v>98</v>
      </c>
      <c r="L10" s="14"/>
      <c r="M10" s="14"/>
      <c r="N10" s="14"/>
    </row>
    <row r="11" ht="23" customHeight="1" spans="1:14">
      <c r="A11" s="13" t="s">
        <v>99</v>
      </c>
      <c r="B11" s="13"/>
      <c r="C11" s="14" t="str">
        <f>VLOOKUP($C$8,委托单位信息!$B$3:$J$9,4,FALSE)</f>
        <v>中新凯瑞工程咨询有限公司</v>
      </c>
      <c r="D11" s="14"/>
      <c r="E11" s="14"/>
      <c r="F11" s="14"/>
      <c r="G11" s="14"/>
      <c r="H11" s="14"/>
      <c r="I11" s="46" t="s">
        <v>100</v>
      </c>
      <c r="J11" s="46"/>
      <c r="K11" s="14" t="str">
        <f>VLOOKUP($C$8,委托单位信息!$B$3:$J$9,5,FALSE)</f>
        <v>马建明</v>
      </c>
      <c r="L11" s="14"/>
      <c r="M11" s="14"/>
      <c r="N11" s="14"/>
    </row>
    <row r="12" ht="23" customHeight="1" spans="1:14">
      <c r="A12" s="13" t="s">
        <v>101</v>
      </c>
      <c r="B12" s="13"/>
      <c r="C12" s="16" t="e">
        <f>VLOOKUP($C$8,混凝土配合比检测!$B$5:$S$98,17,FALSE)</f>
        <v>#N/A</v>
      </c>
      <c r="D12" s="16"/>
      <c r="E12" s="13" t="s">
        <v>102</v>
      </c>
      <c r="F12" s="13"/>
      <c r="G12" s="16" t="e">
        <f>G14+28</f>
        <v>#N/A</v>
      </c>
      <c r="H12" s="16"/>
      <c r="I12" s="46" t="s">
        <v>103</v>
      </c>
      <c r="J12" s="46"/>
      <c r="K12" s="16" t="e">
        <f>G12+2</f>
        <v>#N/A</v>
      </c>
      <c r="L12" s="16"/>
      <c r="M12" s="16"/>
      <c r="N12" s="16"/>
    </row>
    <row r="13" ht="9" customHeight="1" spans="1:14">
      <c r="A13" s="17"/>
      <c r="B13" s="17"/>
      <c r="C13" s="18"/>
      <c r="D13" s="18"/>
      <c r="E13" s="17"/>
      <c r="F13" s="17"/>
      <c r="G13" s="18"/>
      <c r="H13" s="18"/>
      <c r="I13" s="18"/>
      <c r="J13" s="25"/>
      <c r="K13" s="25"/>
      <c r="L13" s="25"/>
      <c r="M13" s="25"/>
      <c r="N13" s="18"/>
    </row>
    <row r="14" ht="20" customHeight="1" spans="1:14">
      <c r="A14" s="19" t="s">
        <v>104</v>
      </c>
      <c r="B14" s="19"/>
      <c r="C14" s="20" t="s">
        <v>144</v>
      </c>
      <c r="D14" s="20"/>
      <c r="E14" s="21" t="s">
        <v>106</v>
      </c>
      <c r="F14" s="22"/>
      <c r="G14" s="23" t="e">
        <f>C12+3</f>
        <v>#N/A</v>
      </c>
      <c r="H14" s="24"/>
      <c r="I14" s="47" t="s">
        <v>107</v>
      </c>
      <c r="J14" s="48"/>
      <c r="K14" s="49" t="s">
        <v>108</v>
      </c>
      <c r="L14" s="49"/>
      <c r="M14" s="49"/>
      <c r="N14" s="48"/>
    </row>
    <row r="15" ht="8" customHeight="1" spans="1:14">
      <c r="A15" s="17"/>
      <c r="B15" s="17"/>
      <c r="C15" s="25"/>
      <c r="D15" s="25"/>
      <c r="E15" s="17"/>
      <c r="F15" s="17"/>
      <c r="G15" s="25"/>
      <c r="H15" s="25"/>
      <c r="I15" s="25"/>
      <c r="J15" s="25"/>
      <c r="K15" s="25"/>
      <c r="L15" s="25"/>
      <c r="M15" s="25"/>
      <c r="N15" s="25"/>
    </row>
    <row r="16" ht="18" customHeight="1" spans="1:14">
      <c r="A16" s="19" t="s">
        <v>109</v>
      </c>
      <c r="B16" s="20" t="s">
        <v>53</v>
      </c>
      <c r="C16" s="26" t="s">
        <v>110</v>
      </c>
      <c r="D16" s="26"/>
      <c r="E16" s="27" t="e">
        <f>VLOOKUP($C$8,#REF!,5,FALSE)</f>
        <v>#REF!</v>
      </c>
      <c r="F16" s="27"/>
      <c r="G16" s="28" t="s">
        <v>111</v>
      </c>
      <c r="H16" s="29" t="e">
        <f>VLOOKUP($C$8,#REF!,7,FALSE)</f>
        <v>#REF!</v>
      </c>
      <c r="I16" s="29"/>
      <c r="J16" s="29" t="s">
        <v>112</v>
      </c>
      <c r="K16" s="29"/>
      <c r="L16" s="29"/>
      <c r="M16" s="50" t="e">
        <f>VLOOKUP($C$8,#REF!,6,FALSE)</f>
        <v>#REF!</v>
      </c>
      <c r="N16" s="51"/>
    </row>
    <row r="17" ht="18" customHeight="1" spans="1:14">
      <c r="A17" s="19"/>
      <c r="B17" s="20"/>
      <c r="C17" s="30" t="s">
        <v>113</v>
      </c>
      <c r="D17" s="30"/>
      <c r="E17" s="31" t="e">
        <f>VLOOKUP($C$8,#REF!,4,FALSE)</f>
        <v>#REF!</v>
      </c>
      <c r="F17" s="31"/>
      <c r="G17" s="30"/>
      <c r="H17" s="30"/>
      <c r="I17" s="30"/>
      <c r="J17" s="52" t="s">
        <v>91</v>
      </c>
      <c r="K17" s="52"/>
      <c r="L17" s="52"/>
      <c r="M17" s="53" t="e">
        <f>VLOOKUP($C$8,#REF!,9,FALSE)</f>
        <v>#REF!</v>
      </c>
      <c r="N17" s="54"/>
    </row>
    <row r="18" ht="18" customHeight="1" spans="1:14">
      <c r="A18" s="19"/>
      <c r="B18" s="20" t="s">
        <v>114</v>
      </c>
      <c r="C18" s="26" t="s">
        <v>110</v>
      </c>
      <c r="D18" s="26"/>
      <c r="E18" s="32" t="e">
        <f>VLOOKUP($C$8,#REF!,11,FALSE)</f>
        <v>#REF!</v>
      </c>
      <c r="F18" s="32"/>
      <c r="G18" s="26"/>
      <c r="H18" s="26"/>
      <c r="I18" s="26"/>
      <c r="J18" s="29" t="s">
        <v>115</v>
      </c>
      <c r="K18" s="29"/>
      <c r="L18" s="29"/>
      <c r="M18" s="50" t="s">
        <v>45</v>
      </c>
      <c r="N18" s="51"/>
    </row>
    <row r="19" ht="18" customHeight="1" spans="1:14">
      <c r="A19" s="19"/>
      <c r="B19" s="20"/>
      <c r="C19" s="30" t="s">
        <v>116</v>
      </c>
      <c r="D19" s="30"/>
      <c r="E19" s="31" t="e">
        <f>VLOOKUP($C$8,#REF!,10,FALSE)</f>
        <v>#REF!</v>
      </c>
      <c r="F19" s="31"/>
      <c r="G19" s="30"/>
      <c r="H19" s="30"/>
      <c r="I19" s="30"/>
      <c r="J19" s="52" t="s">
        <v>91</v>
      </c>
      <c r="K19" s="52"/>
      <c r="L19" s="52"/>
      <c r="M19" s="53" t="e">
        <f>VLOOKUP($C$8,#REF!,12,FALSE)</f>
        <v>#REF!</v>
      </c>
      <c r="N19" s="54"/>
    </row>
    <row r="20" ht="18" customHeight="1" spans="1:14">
      <c r="A20" s="19"/>
      <c r="B20" s="20" t="s">
        <v>117</v>
      </c>
      <c r="C20" s="26" t="s">
        <v>110</v>
      </c>
      <c r="D20" s="26"/>
      <c r="E20" s="32" t="s">
        <v>45</v>
      </c>
      <c r="F20" s="32"/>
      <c r="G20" s="26"/>
      <c r="H20" s="26"/>
      <c r="I20" s="26"/>
      <c r="J20" s="29" t="s">
        <v>115</v>
      </c>
      <c r="K20" s="29"/>
      <c r="L20" s="29"/>
      <c r="M20" s="50" t="s">
        <v>45</v>
      </c>
      <c r="N20" s="51"/>
    </row>
    <row r="21" ht="18" customHeight="1" spans="1:14">
      <c r="A21" s="19"/>
      <c r="B21" s="20"/>
      <c r="C21" s="30" t="s">
        <v>116</v>
      </c>
      <c r="D21" s="30"/>
      <c r="E21" s="31" t="s">
        <v>45</v>
      </c>
      <c r="F21" s="31"/>
      <c r="G21" s="30"/>
      <c r="H21" s="30"/>
      <c r="I21" s="30"/>
      <c r="J21" s="52" t="s">
        <v>91</v>
      </c>
      <c r="K21" s="52"/>
      <c r="L21" s="52"/>
      <c r="M21" s="53" t="s">
        <v>45</v>
      </c>
      <c r="N21" s="54"/>
    </row>
    <row r="22" ht="18" customHeight="1" spans="1:14">
      <c r="A22" s="19"/>
      <c r="B22" s="20" t="s">
        <v>118</v>
      </c>
      <c r="C22" s="26" t="s">
        <v>110</v>
      </c>
      <c r="D22" s="26"/>
      <c r="E22" s="32" t="s">
        <v>119</v>
      </c>
      <c r="F22" s="32"/>
      <c r="G22" s="26"/>
      <c r="H22" s="26"/>
      <c r="I22" s="26"/>
      <c r="J22" s="29" t="s">
        <v>120</v>
      </c>
      <c r="K22" s="29"/>
      <c r="L22" s="29"/>
      <c r="M22" s="55" t="s">
        <v>121</v>
      </c>
      <c r="N22" s="56"/>
    </row>
    <row r="23" ht="18" customHeight="1" spans="1:14">
      <c r="A23" s="19"/>
      <c r="B23" s="20"/>
      <c r="C23" s="30" t="s">
        <v>116</v>
      </c>
      <c r="D23" s="30"/>
      <c r="E23" s="31" t="e">
        <f>VLOOKUP($C$8,#REF!,13,FALSE)</f>
        <v>#REF!</v>
      </c>
      <c r="F23" s="31"/>
      <c r="G23" s="30"/>
      <c r="H23" s="30"/>
      <c r="I23" s="30"/>
      <c r="J23" s="52" t="s">
        <v>91</v>
      </c>
      <c r="K23" s="52"/>
      <c r="L23" s="52"/>
      <c r="M23" s="53" t="e">
        <f>VLOOKUP($C$8,#REF!,15,FALSE)</f>
        <v>#REF!</v>
      </c>
      <c r="N23" s="54"/>
    </row>
    <row r="24" ht="18" customHeight="1" spans="1:14">
      <c r="A24" s="19"/>
      <c r="B24" s="20" t="s">
        <v>122</v>
      </c>
      <c r="C24" s="26" t="s">
        <v>110</v>
      </c>
      <c r="D24" s="26"/>
      <c r="E24" s="32" t="s">
        <v>45</v>
      </c>
      <c r="F24" s="32"/>
      <c r="G24" s="26"/>
      <c r="H24" s="26"/>
      <c r="I24" s="26"/>
      <c r="J24" s="29" t="s">
        <v>120</v>
      </c>
      <c r="K24" s="29"/>
      <c r="L24" s="29"/>
      <c r="M24" s="50" t="s">
        <v>45</v>
      </c>
      <c r="N24" s="51"/>
    </row>
    <row r="25" ht="18" customHeight="1" spans="1:14">
      <c r="A25" s="19"/>
      <c r="B25" s="20"/>
      <c r="C25" s="30" t="s">
        <v>116</v>
      </c>
      <c r="D25" s="30"/>
      <c r="E25" s="31" t="s">
        <v>45</v>
      </c>
      <c r="F25" s="31"/>
      <c r="G25" s="30"/>
      <c r="H25" s="30"/>
      <c r="I25" s="30"/>
      <c r="J25" s="52" t="s">
        <v>91</v>
      </c>
      <c r="K25" s="52"/>
      <c r="L25" s="52"/>
      <c r="M25" s="53" t="s">
        <v>45</v>
      </c>
      <c r="N25" s="54"/>
    </row>
    <row r="26" ht="18" customHeight="1" spans="1:14">
      <c r="A26" s="19"/>
      <c r="B26" s="20" t="s">
        <v>123</v>
      </c>
      <c r="C26" s="26" t="s">
        <v>124</v>
      </c>
      <c r="D26" s="26"/>
      <c r="E26" s="32" t="s">
        <v>45</v>
      </c>
      <c r="F26" s="32"/>
      <c r="G26" s="26"/>
      <c r="H26" s="26"/>
      <c r="I26" s="26"/>
      <c r="J26" s="29" t="s">
        <v>125</v>
      </c>
      <c r="K26" s="29"/>
      <c r="L26" s="29"/>
      <c r="M26" s="50" t="s">
        <v>45</v>
      </c>
      <c r="N26" s="51"/>
    </row>
    <row r="27" ht="18" customHeight="1" spans="1:14">
      <c r="A27" s="19"/>
      <c r="B27" s="20"/>
      <c r="C27" s="30" t="s">
        <v>116</v>
      </c>
      <c r="D27" s="30"/>
      <c r="E27" s="31" t="s">
        <v>45</v>
      </c>
      <c r="F27" s="31"/>
      <c r="G27" s="30"/>
      <c r="H27" s="30"/>
      <c r="I27" s="30"/>
      <c r="J27" s="52" t="s">
        <v>91</v>
      </c>
      <c r="K27" s="52"/>
      <c r="L27" s="52"/>
      <c r="M27" s="53" t="s">
        <v>45</v>
      </c>
      <c r="N27" s="54"/>
    </row>
    <row r="28" ht="18" customHeight="1" spans="1:14">
      <c r="A28" s="19"/>
      <c r="B28" s="20" t="s">
        <v>126</v>
      </c>
      <c r="C28" s="26" t="s">
        <v>124</v>
      </c>
      <c r="D28" s="26"/>
      <c r="E28" s="32" t="s">
        <v>45</v>
      </c>
      <c r="F28" s="32"/>
      <c r="G28" s="26"/>
      <c r="H28" s="26"/>
      <c r="I28" s="26"/>
      <c r="J28" s="29" t="s">
        <v>125</v>
      </c>
      <c r="K28" s="29"/>
      <c r="L28" s="29"/>
      <c r="M28" s="50" t="s">
        <v>45</v>
      </c>
      <c r="N28" s="51"/>
    </row>
    <row r="29" ht="18" customHeight="1" spans="1:14">
      <c r="A29" s="19"/>
      <c r="B29" s="20"/>
      <c r="C29" s="30" t="s">
        <v>116</v>
      </c>
      <c r="D29" s="30"/>
      <c r="E29" s="31" t="s">
        <v>45</v>
      </c>
      <c r="F29" s="31"/>
      <c r="G29" s="30"/>
      <c r="H29" s="30"/>
      <c r="I29" s="30"/>
      <c r="J29" s="52" t="s">
        <v>91</v>
      </c>
      <c r="K29" s="52"/>
      <c r="L29" s="52"/>
      <c r="M29" s="53" t="s">
        <v>45</v>
      </c>
      <c r="N29" s="54"/>
    </row>
    <row r="30" ht="18" customHeight="1" spans="1:14">
      <c r="A30" s="19"/>
      <c r="B30" s="20" t="s">
        <v>127</v>
      </c>
      <c r="C30" s="26" t="s">
        <v>124</v>
      </c>
      <c r="D30" s="26"/>
      <c r="E30" s="32" t="s">
        <v>45</v>
      </c>
      <c r="F30" s="32"/>
      <c r="G30" s="26"/>
      <c r="H30" s="26"/>
      <c r="I30" s="26"/>
      <c r="J30" s="29" t="s">
        <v>125</v>
      </c>
      <c r="K30" s="29"/>
      <c r="L30" s="29"/>
      <c r="M30" s="50" t="s">
        <v>45</v>
      </c>
      <c r="N30" s="51"/>
    </row>
    <row r="31" ht="18" customHeight="1" spans="1:14">
      <c r="A31" s="19"/>
      <c r="B31" s="20"/>
      <c r="C31" s="33" t="s">
        <v>116</v>
      </c>
      <c r="D31" s="33"/>
      <c r="E31" s="34" t="s">
        <v>45</v>
      </c>
      <c r="F31" s="34"/>
      <c r="G31" s="33"/>
      <c r="H31" s="33"/>
      <c r="I31" s="33"/>
      <c r="J31" s="57" t="s">
        <v>91</v>
      </c>
      <c r="K31" s="57"/>
      <c r="L31" s="57"/>
      <c r="M31" s="58" t="s">
        <v>45</v>
      </c>
      <c r="N31" s="59"/>
    </row>
    <row r="32" s="2" customFormat="1" ht="32" customHeight="1" spans="1:14">
      <c r="A32" s="19" t="s">
        <v>128</v>
      </c>
      <c r="B32" s="19" t="s">
        <v>129</v>
      </c>
      <c r="C32" s="35"/>
      <c r="D32" s="35" t="s">
        <v>53</v>
      </c>
      <c r="E32" s="35" t="s">
        <v>114</v>
      </c>
      <c r="F32" s="35" t="s">
        <v>117</v>
      </c>
      <c r="G32" s="35" t="s">
        <v>118</v>
      </c>
      <c r="H32" s="35" t="s">
        <v>122</v>
      </c>
      <c r="I32" s="35" t="s">
        <v>123</v>
      </c>
      <c r="J32" s="60" t="s">
        <v>130</v>
      </c>
      <c r="K32" s="61"/>
      <c r="L32" s="60" t="s">
        <v>131</v>
      </c>
      <c r="M32" s="61"/>
      <c r="N32" s="35" t="s">
        <v>132</v>
      </c>
    </row>
    <row r="33" ht="25" customHeight="1" spans="1:14">
      <c r="A33" s="19"/>
      <c r="B33" s="20" t="s">
        <v>133</v>
      </c>
      <c r="C33" s="20"/>
      <c r="D33" s="20">
        <v>430</v>
      </c>
      <c r="E33" s="19">
        <v>780</v>
      </c>
      <c r="F33" s="19" t="s">
        <v>134</v>
      </c>
      <c r="G33" s="20">
        <v>930</v>
      </c>
      <c r="H33" s="20" t="s">
        <v>134</v>
      </c>
      <c r="I33" s="20" t="s">
        <v>134</v>
      </c>
      <c r="J33" s="21" t="s">
        <v>134</v>
      </c>
      <c r="K33" s="22"/>
      <c r="L33" s="21" t="s">
        <v>134</v>
      </c>
      <c r="M33" s="22"/>
      <c r="N33" s="20">
        <v>195</v>
      </c>
    </row>
    <row r="34" ht="25" customHeight="1" spans="1:14">
      <c r="A34" s="19"/>
      <c r="B34" s="20" t="s">
        <v>135</v>
      </c>
      <c r="C34" s="20"/>
      <c r="D34" s="36">
        <v>1</v>
      </c>
      <c r="E34" s="19">
        <v>1.81</v>
      </c>
      <c r="F34" s="19" t="s">
        <v>134</v>
      </c>
      <c r="G34" s="20">
        <v>2.29</v>
      </c>
      <c r="H34" s="20" t="s">
        <v>134</v>
      </c>
      <c r="I34" s="20" t="s">
        <v>134</v>
      </c>
      <c r="J34" s="21" t="s">
        <v>134</v>
      </c>
      <c r="K34" s="22"/>
      <c r="L34" s="21" t="s">
        <v>134</v>
      </c>
      <c r="M34" s="22"/>
      <c r="N34" s="20">
        <v>0.45</v>
      </c>
    </row>
    <row r="35" ht="36" customHeight="1" spans="1:14">
      <c r="A35" s="21" t="s">
        <v>11</v>
      </c>
      <c r="B35" s="37"/>
      <c r="C35" s="38" t="s">
        <v>136</v>
      </c>
      <c r="D35" s="39"/>
      <c r="E35" s="39"/>
      <c r="F35" s="39"/>
      <c r="G35" s="39"/>
      <c r="H35" s="39"/>
      <c r="I35" s="39"/>
      <c r="J35" s="39"/>
      <c r="K35" s="39"/>
      <c r="L35" s="39"/>
      <c r="M35" s="39"/>
      <c r="N35" s="62"/>
    </row>
    <row r="36" ht="56" customHeight="1" spans="1:14">
      <c r="A36" s="40" t="s">
        <v>137</v>
      </c>
      <c r="B36" s="40"/>
      <c r="C36" s="40"/>
      <c r="D36" s="40"/>
      <c r="E36" s="40"/>
      <c r="F36" s="40"/>
      <c r="G36" s="40"/>
      <c r="H36" s="40"/>
      <c r="I36" s="40"/>
      <c r="J36" s="40"/>
      <c r="K36" s="40"/>
      <c r="L36" s="40"/>
      <c r="M36" s="40"/>
      <c r="N36" s="40"/>
    </row>
    <row r="37" ht="40" customHeight="1" spans="1:14">
      <c r="A37" s="17" t="s">
        <v>138</v>
      </c>
      <c r="B37" s="17"/>
      <c r="C37" s="40"/>
      <c r="D37" s="40"/>
      <c r="E37" s="41" t="s">
        <v>139</v>
      </c>
      <c r="F37" s="41"/>
      <c r="G37" s="40"/>
      <c r="H37" s="40"/>
      <c r="I37" s="40"/>
      <c r="J37" s="17" t="s">
        <v>140</v>
      </c>
      <c r="K37" s="17"/>
      <c r="L37" s="40"/>
      <c r="M37" s="40"/>
      <c r="N37" s="40"/>
    </row>
    <row r="38" ht="27" customHeight="1" spans="1:14">
      <c r="A38" s="42" t="s">
        <v>141</v>
      </c>
      <c r="B38" s="42"/>
      <c r="C38" s="42"/>
      <c r="D38" s="42"/>
      <c r="E38" s="42"/>
      <c r="F38" s="42"/>
      <c r="G38" s="42"/>
      <c r="H38" s="43"/>
      <c r="I38" s="43"/>
      <c r="J38" s="42" t="s">
        <v>142</v>
      </c>
      <c r="K38" s="42"/>
      <c r="L38" s="42"/>
      <c r="M38" s="42"/>
      <c r="N38" s="42"/>
    </row>
  </sheetData>
  <mergeCells count="129">
    <mergeCell ref="G1:N1"/>
    <mergeCell ref="I2:N2"/>
    <mergeCell ref="I3:N3"/>
    <mergeCell ref="A5:N5"/>
    <mergeCell ref="A6:N6"/>
    <mergeCell ref="A7:B7"/>
    <mergeCell ref="C7:H7"/>
    <mergeCell ref="I7:J7"/>
    <mergeCell ref="K7:N7"/>
    <mergeCell ref="A8:B8"/>
    <mergeCell ref="C8:N8"/>
    <mergeCell ref="A9:B9"/>
    <mergeCell ref="C9:H9"/>
    <mergeCell ref="I9:J9"/>
    <mergeCell ref="K9:N9"/>
    <mergeCell ref="A10:B10"/>
    <mergeCell ref="C10:H10"/>
    <mergeCell ref="I10:J10"/>
    <mergeCell ref="K10:N10"/>
    <mergeCell ref="A11:B11"/>
    <mergeCell ref="C11:H11"/>
    <mergeCell ref="I11:J11"/>
    <mergeCell ref="K11:N11"/>
    <mergeCell ref="A12:B12"/>
    <mergeCell ref="C12:D12"/>
    <mergeCell ref="E12:F12"/>
    <mergeCell ref="G12:H12"/>
    <mergeCell ref="I12:J12"/>
    <mergeCell ref="K12:N12"/>
    <mergeCell ref="A14:B14"/>
    <mergeCell ref="C14:D14"/>
    <mergeCell ref="E14:F14"/>
    <mergeCell ref="G14:H14"/>
    <mergeCell ref="I14:J14"/>
    <mergeCell ref="K14:N14"/>
    <mergeCell ref="C16:D16"/>
    <mergeCell ref="E16:F16"/>
    <mergeCell ref="H16:I16"/>
    <mergeCell ref="J16:L16"/>
    <mergeCell ref="M16:N16"/>
    <mergeCell ref="C17:D17"/>
    <mergeCell ref="E17:I17"/>
    <mergeCell ref="J17:L17"/>
    <mergeCell ref="M17:N17"/>
    <mergeCell ref="C18:D18"/>
    <mergeCell ref="E18:I18"/>
    <mergeCell ref="J18:L18"/>
    <mergeCell ref="M18:N18"/>
    <mergeCell ref="C19:D19"/>
    <mergeCell ref="E19:I19"/>
    <mergeCell ref="J19:L19"/>
    <mergeCell ref="M19:N19"/>
    <mergeCell ref="C20:D20"/>
    <mergeCell ref="E20:I20"/>
    <mergeCell ref="J20:L20"/>
    <mergeCell ref="M20:N20"/>
    <mergeCell ref="C21:D21"/>
    <mergeCell ref="E21:I21"/>
    <mergeCell ref="J21:L21"/>
    <mergeCell ref="M21:N21"/>
    <mergeCell ref="C22:D22"/>
    <mergeCell ref="E22:I22"/>
    <mergeCell ref="J22:L22"/>
    <mergeCell ref="M22:N22"/>
    <mergeCell ref="C23:D23"/>
    <mergeCell ref="E23:I23"/>
    <mergeCell ref="J23:L23"/>
    <mergeCell ref="M23:N23"/>
    <mergeCell ref="C24:D24"/>
    <mergeCell ref="E24:I24"/>
    <mergeCell ref="J24:L24"/>
    <mergeCell ref="M24:N24"/>
    <mergeCell ref="C25:D25"/>
    <mergeCell ref="E25:I25"/>
    <mergeCell ref="J25:L25"/>
    <mergeCell ref="M25:N25"/>
    <mergeCell ref="C26:D26"/>
    <mergeCell ref="E26:I26"/>
    <mergeCell ref="J26:L26"/>
    <mergeCell ref="M26:N26"/>
    <mergeCell ref="C27:D27"/>
    <mergeCell ref="E27:I27"/>
    <mergeCell ref="J27:L27"/>
    <mergeCell ref="M27:N27"/>
    <mergeCell ref="C28:D28"/>
    <mergeCell ref="E28:I28"/>
    <mergeCell ref="J28:L28"/>
    <mergeCell ref="M28:N28"/>
    <mergeCell ref="C29:D29"/>
    <mergeCell ref="E29:I29"/>
    <mergeCell ref="J29:L29"/>
    <mergeCell ref="M29:N29"/>
    <mergeCell ref="C30:D30"/>
    <mergeCell ref="E30:I30"/>
    <mergeCell ref="J30:L30"/>
    <mergeCell ref="M30:N30"/>
    <mergeCell ref="C31:D31"/>
    <mergeCell ref="E31:I31"/>
    <mergeCell ref="J31:L31"/>
    <mergeCell ref="M31:N31"/>
    <mergeCell ref="B32:C32"/>
    <mergeCell ref="J32:K32"/>
    <mergeCell ref="L32:M32"/>
    <mergeCell ref="B33:C33"/>
    <mergeCell ref="J33:K33"/>
    <mergeCell ref="L33:M33"/>
    <mergeCell ref="B34:C34"/>
    <mergeCell ref="J34:K34"/>
    <mergeCell ref="L34:M34"/>
    <mergeCell ref="A35:B35"/>
    <mergeCell ref="C35:N35"/>
    <mergeCell ref="A36:N36"/>
    <mergeCell ref="A37:B37"/>
    <mergeCell ref="E37:F37"/>
    <mergeCell ref="J37:K37"/>
    <mergeCell ref="A38:G38"/>
    <mergeCell ref="J38:N38"/>
    <mergeCell ref="A1:A2"/>
    <mergeCell ref="A16:A31"/>
    <mergeCell ref="A32:A34"/>
    <mergeCell ref="B16:B17"/>
    <mergeCell ref="B18:B19"/>
    <mergeCell ref="B20:B21"/>
    <mergeCell ref="B22:B23"/>
    <mergeCell ref="B24:B25"/>
    <mergeCell ref="B26:B27"/>
    <mergeCell ref="B28:B29"/>
    <mergeCell ref="B30:B31"/>
    <mergeCell ref="B1:D2"/>
  </mergeCells>
  <dataValidations count="1">
    <dataValidation type="list" allowBlank="1" showInputMessage="1" showErrorMessage="1" sqref="C8:N8">
      <formula1>委托单位信息!$B$3:$B$9</formula1>
    </dataValidation>
  </dataValidations>
  <printOptions horizontalCentered="1"/>
  <pageMargins left="0.590277777777778" right="0.354166666666667" top="0.196527777777778" bottom="0.472222222222222" header="0.0784722222222222" footer="0.196527777777778"/>
  <pageSetup paperSize="9"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O39"/>
  <sheetViews>
    <sheetView tabSelected="1" view="pageBreakPreview" zoomScaleNormal="100" workbookViewId="0">
      <selection activeCell="P22" sqref="P22"/>
    </sheetView>
  </sheetViews>
  <sheetFormatPr defaultColWidth="9" defaultRowHeight="13.5"/>
  <cols>
    <col min="1" max="1" width="3.125" style="2" customWidth="1"/>
    <col min="2" max="2" width="8.5" style="2" customWidth="1"/>
    <col min="3" max="3" width="5.375" style="1" customWidth="1"/>
    <col min="4" max="4" width="7.625" style="1" customWidth="1"/>
    <col min="5" max="6" width="6" style="2" customWidth="1"/>
    <col min="7" max="7" width="6.25" style="1" customWidth="1"/>
    <col min="8" max="8" width="6.375" style="1" customWidth="1"/>
    <col min="9" max="9" width="8.125" style="1" customWidth="1"/>
    <col min="10" max="11" width="4.75" style="1" customWidth="1"/>
    <col min="12" max="12" width="5" style="1" customWidth="1"/>
    <col min="13" max="13" width="5.75" style="1" customWidth="1"/>
    <col min="14" max="14" width="11.875" style="1" customWidth="1"/>
  </cols>
  <sheetData>
    <row r="1" s="1" customFormat="1" ht="6" customHeight="1" spans="1:14">
      <c r="A1" s="3"/>
      <c r="B1" s="3"/>
      <c r="C1" s="3"/>
      <c r="D1" s="3"/>
      <c r="E1" s="2"/>
      <c r="F1" s="2"/>
      <c r="G1" s="4"/>
      <c r="H1" s="4"/>
      <c r="I1" s="4"/>
      <c r="J1" s="4"/>
      <c r="K1" s="4"/>
      <c r="L1" s="4"/>
      <c r="M1" s="4"/>
      <c r="N1" s="4"/>
    </row>
    <row r="2" s="1" customFormat="1" ht="6" customHeight="1" spans="1:14">
      <c r="A2" s="3"/>
      <c r="B2" s="3"/>
      <c r="C2" s="3"/>
      <c r="D2" s="3"/>
      <c r="E2" s="2"/>
      <c r="F2" s="2"/>
      <c r="G2" s="5"/>
      <c r="H2" s="5"/>
      <c r="I2" s="44"/>
      <c r="J2" s="44"/>
      <c r="K2" s="44"/>
      <c r="L2" s="44"/>
      <c r="M2" s="44"/>
      <c r="N2" s="44"/>
    </row>
    <row r="3" s="1" customFormat="1" ht="6" customHeight="1" spans="1:14">
      <c r="A3" s="3"/>
      <c r="B3" s="6"/>
      <c r="C3" s="6"/>
      <c r="D3" s="6"/>
      <c r="E3" s="3"/>
      <c r="F3" s="3"/>
      <c r="G3" s="7"/>
      <c r="H3" s="7"/>
      <c r="I3" s="45"/>
      <c r="J3" s="45"/>
      <c r="K3" s="45"/>
      <c r="L3" s="45"/>
      <c r="M3" s="45"/>
      <c r="N3" s="45"/>
    </row>
    <row r="4" s="1" customFormat="1" ht="6" customHeight="1" spans="1:14">
      <c r="A4" s="2"/>
      <c r="E4" s="2"/>
      <c r="F4" s="2"/>
      <c r="G4" s="8"/>
      <c r="H4" s="8"/>
      <c r="I4" s="4"/>
      <c r="J4" s="4"/>
      <c r="K4" s="4"/>
      <c r="L4" s="4"/>
      <c r="M4" s="4"/>
      <c r="N4" s="4"/>
    </row>
    <row r="5" ht="20" customHeight="1" spans="1:14">
      <c r="A5" s="9" t="s">
        <v>88</v>
      </c>
      <c r="B5" s="9"/>
      <c r="C5" s="10"/>
      <c r="D5" s="10"/>
      <c r="E5" s="9"/>
      <c r="F5" s="9"/>
      <c r="G5" s="10"/>
      <c r="H5" s="10"/>
      <c r="I5" s="10"/>
      <c r="J5" s="10"/>
      <c r="K5" s="10"/>
      <c r="L5" s="10"/>
      <c r="M5" s="10"/>
      <c r="N5" s="10"/>
    </row>
    <row r="6" ht="25" customHeight="1" spans="1:14">
      <c r="A6" s="11" t="s">
        <v>89</v>
      </c>
      <c r="B6" s="11"/>
      <c r="C6" s="12"/>
      <c r="D6" s="12"/>
      <c r="E6" s="11"/>
      <c r="F6" s="11"/>
      <c r="G6" s="12"/>
      <c r="H6" s="12"/>
      <c r="I6" s="12"/>
      <c r="J6" s="12"/>
      <c r="K6" s="12"/>
      <c r="L6" s="12"/>
      <c r="M6" s="12"/>
      <c r="N6" s="12"/>
    </row>
    <row r="7" ht="13" customHeight="1" spans="1:14">
      <c r="A7" s="11"/>
      <c r="B7" s="11"/>
      <c r="C7" s="12"/>
      <c r="D7" s="12"/>
      <c r="E7" s="11"/>
      <c r="F7" s="11"/>
      <c r="G7" s="12"/>
      <c r="H7" s="12"/>
      <c r="I7" s="12"/>
      <c r="J7" s="12"/>
      <c r="K7" s="12"/>
      <c r="L7" s="12"/>
      <c r="M7" s="12"/>
      <c r="N7" s="12"/>
    </row>
    <row r="8" ht="23" customHeight="1" spans="1:14">
      <c r="A8" s="13" t="s">
        <v>90</v>
      </c>
      <c r="B8" s="13"/>
      <c r="C8" s="14" t="str">
        <f>VLOOKUP($C$9,委托单位信息!$B$3:$J$100,2,FALSE)</f>
        <v>兴文县鼎立建筑工程有限公司</v>
      </c>
      <c r="D8" s="14"/>
      <c r="E8" s="14"/>
      <c r="F8" s="14"/>
      <c r="G8" s="14"/>
      <c r="H8" s="14"/>
      <c r="I8" s="46" t="s">
        <v>91</v>
      </c>
      <c r="J8" s="46"/>
      <c r="K8" s="14" t="str">
        <f>VLOOKUP($C$9,混凝土配合比检测!$B$5:$S$98,18,FALSE)</f>
        <v>010210-2020000016</v>
      </c>
      <c r="L8" s="14"/>
      <c r="M8" s="14"/>
      <c r="N8" s="14"/>
    </row>
    <row r="9" ht="23" customHeight="1" spans="1:14">
      <c r="A9" s="13" t="s">
        <v>92</v>
      </c>
      <c r="B9" s="13"/>
      <c r="C9" s="15" t="s">
        <v>43</v>
      </c>
      <c r="D9" s="15"/>
      <c r="E9" s="15"/>
      <c r="F9" s="15"/>
      <c r="G9" s="15"/>
      <c r="H9" s="15"/>
      <c r="I9" s="15"/>
      <c r="J9" s="15"/>
      <c r="K9" s="15"/>
      <c r="L9" s="15"/>
      <c r="M9" s="15"/>
      <c r="N9" s="15"/>
    </row>
    <row r="10" ht="23" customHeight="1" spans="1:14">
      <c r="A10" s="13" t="s">
        <v>94</v>
      </c>
      <c r="B10" s="13"/>
      <c r="C10" s="14" t="s">
        <v>45</v>
      </c>
      <c r="D10" s="14"/>
      <c r="E10" s="14"/>
      <c r="F10" s="14"/>
      <c r="G10" s="14"/>
      <c r="H10" s="14"/>
      <c r="I10" s="46" t="s">
        <v>95</v>
      </c>
      <c r="J10" s="46"/>
      <c r="K10" s="14" t="str">
        <f>VLOOKUP($C$9,委托单位信息!$B$3:$J$100,9,FALSE)</f>
        <v>无见证取样送检</v>
      </c>
      <c r="L10" s="14"/>
      <c r="M10" s="14"/>
      <c r="N10" s="14"/>
    </row>
    <row r="11" ht="23" customHeight="1" spans="1:14">
      <c r="A11" s="13" t="s">
        <v>96</v>
      </c>
      <c r="B11" s="13"/>
      <c r="C11" s="14" t="s">
        <v>45</v>
      </c>
      <c r="D11" s="14"/>
      <c r="E11" s="14"/>
      <c r="F11" s="14"/>
      <c r="G11" s="14"/>
      <c r="H11" s="14"/>
      <c r="I11" s="46" t="s">
        <v>97</v>
      </c>
      <c r="J11" s="46"/>
      <c r="K11" s="14" t="s">
        <v>98</v>
      </c>
      <c r="L11" s="14"/>
      <c r="M11" s="14"/>
      <c r="N11" s="14"/>
    </row>
    <row r="12" ht="23" customHeight="1" spans="1:14">
      <c r="A12" s="13" t="s">
        <v>99</v>
      </c>
      <c r="B12" s="13"/>
      <c r="C12" s="14" t="str">
        <f>VLOOKUP($C$9,委托单位信息!$B$3:$J$100,4,FALSE)</f>
        <v>——</v>
      </c>
      <c r="D12" s="14"/>
      <c r="E12" s="14"/>
      <c r="F12" s="14"/>
      <c r="G12" s="14"/>
      <c r="H12" s="14"/>
      <c r="I12" s="46" t="s">
        <v>100</v>
      </c>
      <c r="J12" s="46"/>
      <c r="K12" s="14" t="str">
        <f>VLOOKUP($C$9,委托单位信息!$B$3:$J$100,5,FALSE)</f>
        <v>——</v>
      </c>
      <c r="L12" s="14"/>
      <c r="M12" s="14"/>
      <c r="N12" s="14"/>
    </row>
    <row r="13" ht="23" customHeight="1" spans="1:14">
      <c r="A13" s="13" t="s">
        <v>101</v>
      </c>
      <c r="B13" s="13"/>
      <c r="C13" s="63">
        <f>VLOOKUP($C$9,混凝土配合比检测!$B$5:$S$98,17,FALSE)</f>
        <v>44015</v>
      </c>
      <c r="D13" s="63"/>
      <c r="E13" s="13" t="s">
        <v>102</v>
      </c>
      <c r="F13" s="13"/>
      <c r="G13" s="63">
        <f>C13+28</f>
        <v>44043</v>
      </c>
      <c r="H13" s="63"/>
      <c r="I13" s="46" t="s">
        <v>103</v>
      </c>
      <c r="J13" s="46"/>
      <c r="K13" s="63">
        <f>G13+2</f>
        <v>44045</v>
      </c>
      <c r="L13" s="63"/>
      <c r="M13" s="63"/>
      <c r="N13" s="63"/>
    </row>
    <row r="14" ht="9" customHeight="1" spans="1:14">
      <c r="A14" s="17"/>
      <c r="B14" s="17"/>
      <c r="C14" s="18"/>
      <c r="D14" s="18"/>
      <c r="E14" s="17"/>
      <c r="F14" s="17"/>
      <c r="G14" s="18"/>
      <c r="H14" s="18"/>
      <c r="I14" s="18"/>
      <c r="J14" s="25"/>
      <c r="K14" s="25"/>
      <c r="L14" s="25"/>
      <c r="M14" s="25"/>
      <c r="N14" s="18"/>
    </row>
    <row r="15" ht="20" customHeight="1" spans="1:14">
      <c r="A15" s="19" t="s">
        <v>104</v>
      </c>
      <c r="B15" s="19"/>
      <c r="C15" s="64" t="s">
        <v>144</v>
      </c>
      <c r="D15" s="65"/>
      <c r="E15" s="66"/>
      <c r="F15" s="67" t="s">
        <v>145</v>
      </c>
      <c r="G15" s="68"/>
      <c r="H15" s="69">
        <f>C13+3</f>
        <v>44018</v>
      </c>
      <c r="I15" s="70"/>
      <c r="J15" s="71" t="s">
        <v>107</v>
      </c>
      <c r="K15" s="71"/>
      <c r="L15" s="72"/>
      <c r="M15" s="73" t="s">
        <v>108</v>
      </c>
      <c r="N15" s="74"/>
    </row>
    <row r="16" ht="8" customHeight="1" spans="1:14">
      <c r="A16" s="17"/>
      <c r="B16" s="17"/>
      <c r="C16" s="25"/>
      <c r="D16" s="25"/>
      <c r="E16" s="17"/>
      <c r="F16" s="17"/>
      <c r="G16" s="25"/>
      <c r="H16" s="25"/>
      <c r="I16" s="25"/>
      <c r="J16" s="25"/>
      <c r="K16" s="25"/>
      <c r="L16" s="25"/>
      <c r="M16" s="25"/>
      <c r="N16" s="25"/>
    </row>
    <row r="17" ht="18" customHeight="1" spans="1:14">
      <c r="A17" s="19" t="s">
        <v>109</v>
      </c>
      <c r="B17" s="20" t="s">
        <v>53</v>
      </c>
      <c r="C17" s="26" t="s">
        <v>110</v>
      </c>
      <c r="D17" s="26"/>
      <c r="E17" s="27" t="str">
        <f>VLOOKUP($C$9,混凝土配合比检测!$B$5:$S$98,6,FALSE)</f>
        <v>P·O42.5</v>
      </c>
      <c r="F17" s="27"/>
      <c r="G17" s="28" t="s">
        <v>111</v>
      </c>
      <c r="H17" s="29" t="str">
        <f>VLOOKUP($C$9,混凝土配合比检测!$B$5:$S$98,8,FALSE)</f>
        <v>X421011</v>
      </c>
      <c r="I17" s="29"/>
      <c r="J17" s="29" t="s">
        <v>112</v>
      </c>
      <c r="K17" s="29"/>
      <c r="L17" s="29"/>
      <c r="M17" s="75">
        <f>VLOOKUP($C$9,混凝土配合比检测!$B$5:$S$98,7,FALSE)</f>
        <v>43994</v>
      </c>
      <c r="N17" s="76"/>
    </row>
    <row r="18" ht="18" customHeight="1" spans="1:14">
      <c r="A18" s="19"/>
      <c r="B18" s="20"/>
      <c r="C18" s="30" t="s">
        <v>113</v>
      </c>
      <c r="D18" s="30"/>
      <c r="E18" s="31" t="str">
        <f>VLOOKUP($C$9,混凝土配合比检测!$B$5:$S$98,5,FALSE)</f>
        <v>宜宾瑞兴实业有限公司</v>
      </c>
      <c r="F18" s="31"/>
      <c r="G18" s="30"/>
      <c r="H18" s="30"/>
      <c r="I18" s="30"/>
      <c r="J18" s="52" t="s">
        <v>91</v>
      </c>
      <c r="K18" s="52"/>
      <c r="L18" s="52"/>
      <c r="M18" s="77" t="str">
        <f>VLOOKUP($C$9,混凝土配合比检测!$B$5:$S$98,10,FALSE)</f>
        <v>010601-2020000021</v>
      </c>
      <c r="N18" s="78"/>
    </row>
    <row r="19" ht="18" customHeight="1" spans="1:14">
      <c r="A19" s="19"/>
      <c r="B19" s="20" t="s">
        <v>114</v>
      </c>
      <c r="C19" s="26" t="s">
        <v>110</v>
      </c>
      <c r="D19" s="26"/>
      <c r="E19" s="32" t="s">
        <v>72</v>
      </c>
      <c r="F19" s="32"/>
      <c r="G19" s="26"/>
      <c r="H19" s="26"/>
      <c r="I19" s="26"/>
      <c r="J19" s="29" t="s">
        <v>115</v>
      </c>
      <c r="K19" s="29"/>
      <c r="L19" s="29"/>
      <c r="M19" s="79" t="s">
        <v>45</v>
      </c>
      <c r="N19" s="80"/>
    </row>
    <row r="20" ht="18" customHeight="1" spans="1:14">
      <c r="A20" s="19"/>
      <c r="B20" s="20"/>
      <c r="C20" s="30" t="s">
        <v>116</v>
      </c>
      <c r="D20" s="30"/>
      <c r="E20" s="31" t="str">
        <f>VLOOKUP($C$9,混凝土配合比检测!$B$5:$S$98,11,FALSE)</f>
        <v>麒麟三合石场</v>
      </c>
      <c r="F20" s="31"/>
      <c r="G20" s="30"/>
      <c r="H20" s="30"/>
      <c r="I20" s="30"/>
      <c r="J20" s="52" t="s">
        <v>91</v>
      </c>
      <c r="K20" s="52"/>
      <c r="L20" s="52"/>
      <c r="M20" s="77" t="str">
        <f>VLOOKUP($C$9,混凝土配合比检测!$B$5:$S$98,13,FALSE)</f>
        <v>150502-2020000015</v>
      </c>
      <c r="N20" s="78"/>
    </row>
    <row r="21" ht="18" customHeight="1" spans="1:14">
      <c r="A21" s="19"/>
      <c r="B21" s="20" t="s">
        <v>117</v>
      </c>
      <c r="C21" s="26" t="s">
        <v>110</v>
      </c>
      <c r="D21" s="26"/>
      <c r="E21" s="32" t="s">
        <v>45</v>
      </c>
      <c r="F21" s="32"/>
      <c r="G21" s="26"/>
      <c r="H21" s="26"/>
      <c r="I21" s="26"/>
      <c r="J21" s="29" t="s">
        <v>115</v>
      </c>
      <c r="K21" s="29"/>
      <c r="L21" s="29"/>
      <c r="M21" s="79" t="s">
        <v>45</v>
      </c>
      <c r="N21" s="80"/>
    </row>
    <row r="22" ht="18" customHeight="1" spans="1:14">
      <c r="A22" s="19"/>
      <c r="B22" s="20"/>
      <c r="C22" s="30" t="s">
        <v>116</v>
      </c>
      <c r="D22" s="30"/>
      <c r="E22" s="31" t="s">
        <v>45</v>
      </c>
      <c r="F22" s="31"/>
      <c r="G22" s="30"/>
      <c r="H22" s="30"/>
      <c r="I22" s="30"/>
      <c r="J22" s="52" t="s">
        <v>91</v>
      </c>
      <c r="K22" s="52"/>
      <c r="L22" s="52"/>
      <c r="M22" s="77" t="s">
        <v>45</v>
      </c>
      <c r="N22" s="78"/>
    </row>
    <row r="23" ht="18" customHeight="1" spans="1:14">
      <c r="A23" s="19"/>
      <c r="B23" s="20" t="s">
        <v>118</v>
      </c>
      <c r="C23" s="26" t="s">
        <v>110</v>
      </c>
      <c r="D23" s="26"/>
      <c r="E23" s="32" t="s">
        <v>119</v>
      </c>
      <c r="F23" s="32"/>
      <c r="G23" s="26"/>
      <c r="H23" s="26"/>
      <c r="I23" s="26"/>
      <c r="J23" s="29" t="s">
        <v>120</v>
      </c>
      <c r="K23" s="29"/>
      <c r="L23" s="29"/>
      <c r="M23" s="81" t="s">
        <v>121</v>
      </c>
      <c r="N23" s="82"/>
    </row>
    <row r="24" ht="18" customHeight="1" spans="1:14">
      <c r="A24" s="19"/>
      <c r="B24" s="20"/>
      <c r="C24" s="30" t="s">
        <v>116</v>
      </c>
      <c r="D24" s="30"/>
      <c r="E24" s="31" t="str">
        <f>VLOOKUP($C$9,混凝土配合比检测!$B$5:$S$98,14,FALSE)</f>
        <v>麒麟三合石场</v>
      </c>
      <c r="F24" s="31"/>
      <c r="G24" s="30"/>
      <c r="H24" s="30"/>
      <c r="I24" s="30"/>
      <c r="J24" s="52" t="s">
        <v>91</v>
      </c>
      <c r="K24" s="52"/>
      <c r="L24" s="52"/>
      <c r="M24" s="77" t="str">
        <f>VLOOKUP($C$9,混凝土配合比检测!$B$5:$S$98,16,FALSE)</f>
        <v>150504-2020000015</v>
      </c>
      <c r="N24" s="78"/>
    </row>
    <row r="25" ht="18" customHeight="1" spans="1:15">
      <c r="A25" s="19"/>
      <c r="B25" s="20" t="s">
        <v>122</v>
      </c>
      <c r="C25" s="26" t="s">
        <v>110</v>
      </c>
      <c r="D25" s="26"/>
      <c r="E25" s="32" t="s">
        <v>45</v>
      </c>
      <c r="F25" s="32"/>
      <c r="G25" s="26"/>
      <c r="H25" s="26"/>
      <c r="I25" s="26"/>
      <c r="J25" s="29" t="s">
        <v>120</v>
      </c>
      <c r="K25" s="29"/>
      <c r="L25" s="29"/>
      <c r="M25" s="79" t="s">
        <v>45</v>
      </c>
      <c r="N25" s="80"/>
      <c r="O25" s="83"/>
    </row>
    <row r="26" ht="18" customHeight="1" spans="1:14">
      <c r="A26" s="19"/>
      <c r="B26" s="20"/>
      <c r="C26" s="30" t="s">
        <v>116</v>
      </c>
      <c r="D26" s="30"/>
      <c r="E26" s="31" t="s">
        <v>45</v>
      </c>
      <c r="F26" s="31"/>
      <c r="G26" s="30"/>
      <c r="H26" s="30"/>
      <c r="I26" s="30"/>
      <c r="J26" s="52" t="s">
        <v>91</v>
      </c>
      <c r="K26" s="52"/>
      <c r="L26" s="52"/>
      <c r="M26" s="77" t="s">
        <v>45</v>
      </c>
      <c r="N26" s="78"/>
    </row>
    <row r="27" ht="18" customHeight="1" spans="1:14">
      <c r="A27" s="19"/>
      <c r="B27" s="20" t="s">
        <v>123</v>
      </c>
      <c r="C27" s="26" t="s">
        <v>124</v>
      </c>
      <c r="D27" s="26"/>
      <c r="E27" s="32" t="s">
        <v>45</v>
      </c>
      <c r="F27" s="32"/>
      <c r="G27" s="26"/>
      <c r="H27" s="26"/>
      <c r="I27" s="26"/>
      <c r="J27" s="29" t="s">
        <v>125</v>
      </c>
      <c r="K27" s="29"/>
      <c r="L27" s="29"/>
      <c r="M27" s="79" t="s">
        <v>45</v>
      </c>
      <c r="N27" s="80"/>
    </row>
    <row r="28" ht="18" customHeight="1" spans="1:14">
      <c r="A28" s="19"/>
      <c r="B28" s="20"/>
      <c r="C28" s="30" t="s">
        <v>116</v>
      </c>
      <c r="D28" s="30"/>
      <c r="E28" s="31" t="s">
        <v>45</v>
      </c>
      <c r="F28" s="31"/>
      <c r="G28" s="30"/>
      <c r="H28" s="30"/>
      <c r="I28" s="30"/>
      <c r="J28" s="52" t="s">
        <v>91</v>
      </c>
      <c r="K28" s="52"/>
      <c r="L28" s="52"/>
      <c r="M28" s="77" t="s">
        <v>45</v>
      </c>
      <c r="N28" s="78"/>
    </row>
    <row r="29" ht="18" customHeight="1" spans="1:14">
      <c r="A29" s="19"/>
      <c r="B29" s="20" t="s">
        <v>126</v>
      </c>
      <c r="C29" s="26" t="s">
        <v>124</v>
      </c>
      <c r="D29" s="26"/>
      <c r="E29" s="32" t="s">
        <v>45</v>
      </c>
      <c r="F29" s="32"/>
      <c r="G29" s="26"/>
      <c r="H29" s="26"/>
      <c r="I29" s="26"/>
      <c r="J29" s="29" t="s">
        <v>125</v>
      </c>
      <c r="K29" s="29"/>
      <c r="L29" s="29"/>
      <c r="M29" s="79" t="s">
        <v>45</v>
      </c>
      <c r="N29" s="80"/>
    </row>
    <row r="30" ht="18" customHeight="1" spans="1:14">
      <c r="A30" s="19"/>
      <c r="B30" s="20"/>
      <c r="C30" s="30" t="s">
        <v>116</v>
      </c>
      <c r="D30" s="30"/>
      <c r="E30" s="31" t="s">
        <v>45</v>
      </c>
      <c r="F30" s="31"/>
      <c r="G30" s="30"/>
      <c r="H30" s="30"/>
      <c r="I30" s="30"/>
      <c r="J30" s="52" t="s">
        <v>91</v>
      </c>
      <c r="K30" s="52"/>
      <c r="L30" s="52"/>
      <c r="M30" s="77" t="s">
        <v>45</v>
      </c>
      <c r="N30" s="78"/>
    </row>
    <row r="31" ht="18" customHeight="1" spans="1:14">
      <c r="A31" s="19"/>
      <c r="B31" s="20" t="s">
        <v>127</v>
      </c>
      <c r="C31" s="26" t="s">
        <v>124</v>
      </c>
      <c r="D31" s="26"/>
      <c r="E31" s="32" t="s">
        <v>45</v>
      </c>
      <c r="F31" s="32"/>
      <c r="G31" s="26"/>
      <c r="H31" s="26"/>
      <c r="I31" s="26"/>
      <c r="J31" s="29" t="s">
        <v>125</v>
      </c>
      <c r="K31" s="29"/>
      <c r="L31" s="29"/>
      <c r="M31" s="79" t="s">
        <v>45</v>
      </c>
      <c r="N31" s="80"/>
    </row>
    <row r="32" ht="18" customHeight="1" spans="1:14">
      <c r="A32" s="19"/>
      <c r="B32" s="20"/>
      <c r="C32" s="33" t="s">
        <v>116</v>
      </c>
      <c r="D32" s="33"/>
      <c r="E32" s="34" t="s">
        <v>45</v>
      </c>
      <c r="F32" s="34"/>
      <c r="G32" s="33"/>
      <c r="H32" s="33"/>
      <c r="I32" s="33"/>
      <c r="J32" s="57" t="s">
        <v>91</v>
      </c>
      <c r="K32" s="57"/>
      <c r="L32" s="57"/>
      <c r="M32" s="84" t="s">
        <v>45</v>
      </c>
      <c r="N32" s="85"/>
    </row>
    <row r="33" s="2" customFormat="1" ht="32" customHeight="1" spans="1:14">
      <c r="A33" s="19" t="s">
        <v>128</v>
      </c>
      <c r="B33" s="19" t="s">
        <v>129</v>
      </c>
      <c r="C33" s="35"/>
      <c r="D33" s="35" t="s">
        <v>53</v>
      </c>
      <c r="E33" s="35" t="s">
        <v>114</v>
      </c>
      <c r="F33" s="35" t="s">
        <v>117</v>
      </c>
      <c r="G33" s="35" t="s">
        <v>118</v>
      </c>
      <c r="H33" s="35" t="s">
        <v>122</v>
      </c>
      <c r="I33" s="35" t="s">
        <v>123</v>
      </c>
      <c r="J33" s="60" t="s">
        <v>130</v>
      </c>
      <c r="K33" s="61"/>
      <c r="L33" s="60" t="s">
        <v>131</v>
      </c>
      <c r="M33" s="61"/>
      <c r="N33" s="35" t="s">
        <v>132</v>
      </c>
    </row>
    <row r="34" ht="25" customHeight="1" spans="1:14">
      <c r="A34" s="19"/>
      <c r="B34" s="20" t="s">
        <v>133</v>
      </c>
      <c r="C34" s="20"/>
      <c r="D34" s="20">
        <v>430</v>
      </c>
      <c r="E34" s="19">
        <v>780</v>
      </c>
      <c r="F34" s="19" t="s">
        <v>134</v>
      </c>
      <c r="G34" s="20">
        <v>930</v>
      </c>
      <c r="H34" s="20" t="s">
        <v>134</v>
      </c>
      <c r="I34" s="20" t="s">
        <v>134</v>
      </c>
      <c r="J34" s="21" t="s">
        <v>134</v>
      </c>
      <c r="K34" s="22"/>
      <c r="L34" s="21" t="s">
        <v>134</v>
      </c>
      <c r="M34" s="22"/>
      <c r="N34" s="20">
        <v>195</v>
      </c>
    </row>
    <row r="35" ht="25" customHeight="1" spans="1:14">
      <c r="A35" s="19"/>
      <c r="B35" s="20" t="s">
        <v>135</v>
      </c>
      <c r="C35" s="20"/>
      <c r="D35" s="36">
        <v>1</v>
      </c>
      <c r="E35" s="19">
        <v>1.81</v>
      </c>
      <c r="F35" s="19" t="s">
        <v>134</v>
      </c>
      <c r="G35" s="20">
        <v>2.29</v>
      </c>
      <c r="H35" s="20" t="s">
        <v>134</v>
      </c>
      <c r="I35" s="20" t="s">
        <v>134</v>
      </c>
      <c r="J35" s="21" t="s">
        <v>134</v>
      </c>
      <c r="K35" s="22"/>
      <c r="L35" s="21" t="s">
        <v>134</v>
      </c>
      <c r="M35" s="22"/>
      <c r="N35" s="20">
        <v>0.45</v>
      </c>
    </row>
    <row r="36" ht="36" customHeight="1" spans="1:14">
      <c r="A36" s="21" t="s">
        <v>11</v>
      </c>
      <c r="B36" s="37"/>
      <c r="C36" s="38" t="s">
        <v>136</v>
      </c>
      <c r="D36" s="39"/>
      <c r="E36" s="39"/>
      <c r="F36" s="39"/>
      <c r="G36" s="39"/>
      <c r="H36" s="39"/>
      <c r="I36" s="39"/>
      <c r="J36" s="39"/>
      <c r="K36" s="39"/>
      <c r="L36" s="39"/>
      <c r="M36" s="39"/>
      <c r="N36" s="62"/>
    </row>
    <row r="37" ht="56" customHeight="1" spans="1:14">
      <c r="A37" s="40" t="s">
        <v>146</v>
      </c>
      <c r="B37" s="40"/>
      <c r="C37" s="40"/>
      <c r="D37" s="40"/>
      <c r="E37" s="40"/>
      <c r="F37" s="40"/>
      <c r="G37" s="40"/>
      <c r="H37" s="40"/>
      <c r="I37" s="40"/>
      <c r="J37" s="40"/>
      <c r="K37" s="40"/>
      <c r="L37" s="40"/>
      <c r="M37" s="40"/>
      <c r="N37" s="40"/>
    </row>
    <row r="38" ht="56" customHeight="1" spans="1:14">
      <c r="A38" s="17" t="s">
        <v>138</v>
      </c>
      <c r="B38" s="17"/>
      <c r="C38" s="40"/>
      <c r="D38" s="40"/>
      <c r="E38" s="41" t="s">
        <v>139</v>
      </c>
      <c r="F38" s="41"/>
      <c r="G38" s="40"/>
      <c r="H38" s="40"/>
      <c r="I38" s="40"/>
      <c r="J38" s="17" t="s">
        <v>140</v>
      </c>
      <c r="K38" s="17"/>
      <c r="L38" s="40"/>
      <c r="M38" s="40"/>
      <c r="N38" s="40"/>
    </row>
    <row r="39" ht="27" customHeight="1" spans="1:14">
      <c r="A39" s="42" t="s">
        <v>141</v>
      </c>
      <c r="B39" s="42"/>
      <c r="C39" s="42"/>
      <c r="D39" s="42"/>
      <c r="E39" s="42"/>
      <c r="F39" s="42"/>
      <c r="G39" s="42"/>
      <c r="H39" s="43"/>
      <c r="I39" s="43"/>
      <c r="J39" s="42" t="s">
        <v>142</v>
      </c>
      <c r="K39" s="42"/>
      <c r="L39" s="42"/>
      <c r="M39" s="42"/>
      <c r="N39" s="42"/>
    </row>
  </sheetData>
  <mergeCells count="129">
    <mergeCell ref="G1:N1"/>
    <mergeCell ref="I2:N2"/>
    <mergeCell ref="I3:N3"/>
    <mergeCell ref="A5:N5"/>
    <mergeCell ref="A6:N6"/>
    <mergeCell ref="A8:B8"/>
    <mergeCell ref="C8:H8"/>
    <mergeCell ref="I8:J8"/>
    <mergeCell ref="K8:N8"/>
    <mergeCell ref="A9:B9"/>
    <mergeCell ref="C9:N9"/>
    <mergeCell ref="A10:B10"/>
    <mergeCell ref="C10:H10"/>
    <mergeCell ref="I10:J10"/>
    <mergeCell ref="K10:N10"/>
    <mergeCell ref="A11:B11"/>
    <mergeCell ref="C11:H11"/>
    <mergeCell ref="I11:J11"/>
    <mergeCell ref="K11:N11"/>
    <mergeCell ref="A12:B12"/>
    <mergeCell ref="C12:H12"/>
    <mergeCell ref="I12:J12"/>
    <mergeCell ref="K12:N12"/>
    <mergeCell ref="A13:B13"/>
    <mergeCell ref="C13:D13"/>
    <mergeCell ref="E13:F13"/>
    <mergeCell ref="G13:H13"/>
    <mergeCell ref="I13:J13"/>
    <mergeCell ref="K13:N13"/>
    <mergeCell ref="A15:B15"/>
    <mergeCell ref="C15:E15"/>
    <mergeCell ref="F15:G15"/>
    <mergeCell ref="H15:I15"/>
    <mergeCell ref="J15:L15"/>
    <mergeCell ref="M15:N15"/>
    <mergeCell ref="C17:D17"/>
    <mergeCell ref="E17:F17"/>
    <mergeCell ref="H17:I17"/>
    <mergeCell ref="J17:L17"/>
    <mergeCell ref="M17:N17"/>
    <mergeCell ref="C18:D18"/>
    <mergeCell ref="E18:I18"/>
    <mergeCell ref="J18:L18"/>
    <mergeCell ref="M18:N18"/>
    <mergeCell ref="C19:D19"/>
    <mergeCell ref="E19:I19"/>
    <mergeCell ref="J19:L19"/>
    <mergeCell ref="M19:N19"/>
    <mergeCell ref="C20:D20"/>
    <mergeCell ref="E20:I20"/>
    <mergeCell ref="J20:L20"/>
    <mergeCell ref="M20:N20"/>
    <mergeCell ref="C21:D21"/>
    <mergeCell ref="E21:I21"/>
    <mergeCell ref="J21:L21"/>
    <mergeCell ref="M21:N21"/>
    <mergeCell ref="C22:D22"/>
    <mergeCell ref="E22:I22"/>
    <mergeCell ref="J22:L22"/>
    <mergeCell ref="M22:N22"/>
    <mergeCell ref="C23:D23"/>
    <mergeCell ref="E23:I23"/>
    <mergeCell ref="J23:L23"/>
    <mergeCell ref="M23:N23"/>
    <mergeCell ref="C24:D24"/>
    <mergeCell ref="E24:I24"/>
    <mergeCell ref="J24:L24"/>
    <mergeCell ref="M24:N24"/>
    <mergeCell ref="C25:D25"/>
    <mergeCell ref="E25:I25"/>
    <mergeCell ref="J25:L25"/>
    <mergeCell ref="M25:N25"/>
    <mergeCell ref="C26:D26"/>
    <mergeCell ref="E26:I26"/>
    <mergeCell ref="J26:L26"/>
    <mergeCell ref="M26:N26"/>
    <mergeCell ref="C27:D27"/>
    <mergeCell ref="E27:I27"/>
    <mergeCell ref="J27:L27"/>
    <mergeCell ref="M27:N27"/>
    <mergeCell ref="C28:D28"/>
    <mergeCell ref="E28:I28"/>
    <mergeCell ref="J28:L28"/>
    <mergeCell ref="M28:N28"/>
    <mergeCell ref="C29:D29"/>
    <mergeCell ref="E29:I29"/>
    <mergeCell ref="J29:L29"/>
    <mergeCell ref="M29:N29"/>
    <mergeCell ref="C30:D30"/>
    <mergeCell ref="E30:I30"/>
    <mergeCell ref="J30:L30"/>
    <mergeCell ref="M30:N30"/>
    <mergeCell ref="C31:D31"/>
    <mergeCell ref="E31:I31"/>
    <mergeCell ref="J31:L31"/>
    <mergeCell ref="M31:N31"/>
    <mergeCell ref="C32:D32"/>
    <mergeCell ref="E32:I32"/>
    <mergeCell ref="J32:L32"/>
    <mergeCell ref="M32:N32"/>
    <mergeCell ref="B33:C33"/>
    <mergeCell ref="J33:K33"/>
    <mergeCell ref="L33:M33"/>
    <mergeCell ref="B34:C34"/>
    <mergeCell ref="J34:K34"/>
    <mergeCell ref="L34:M34"/>
    <mergeCell ref="B35:C35"/>
    <mergeCell ref="J35:K35"/>
    <mergeCell ref="L35:M35"/>
    <mergeCell ref="A36:B36"/>
    <mergeCell ref="C36:N36"/>
    <mergeCell ref="A37:N37"/>
    <mergeCell ref="A38:B38"/>
    <mergeCell ref="E38:F38"/>
    <mergeCell ref="J38:K38"/>
    <mergeCell ref="A39:G39"/>
    <mergeCell ref="J39:N39"/>
    <mergeCell ref="A1:A2"/>
    <mergeCell ref="A17:A32"/>
    <mergeCell ref="A33:A35"/>
    <mergeCell ref="B17:B18"/>
    <mergeCell ref="B19:B20"/>
    <mergeCell ref="B21:B22"/>
    <mergeCell ref="B23:B24"/>
    <mergeCell ref="B25:B26"/>
    <mergeCell ref="B27:B28"/>
    <mergeCell ref="B29:B30"/>
    <mergeCell ref="B31:B32"/>
    <mergeCell ref="B1:D2"/>
  </mergeCells>
  <dataValidations count="1">
    <dataValidation type="list" allowBlank="1" showInputMessage="1" showErrorMessage="1" sqref="C9:N9">
      <formula1>委托单位信息!$B$3:$B$100</formula1>
    </dataValidation>
  </dataValidations>
  <printOptions horizontalCentered="1"/>
  <pageMargins left="0.590277777777778" right="0.354166666666667" top="0.196527777777778" bottom="0.472222222222222" header="0.0784722222222222" footer="0.196527777777778"/>
  <pageSetup paperSize="9" scale="98" orientation="portrait" horizont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N38"/>
  <sheetViews>
    <sheetView view="pageBreakPreview" zoomScaleNormal="100" topLeftCell="A2" workbookViewId="0">
      <selection activeCell="C8" sqref="C8:N8"/>
    </sheetView>
  </sheetViews>
  <sheetFormatPr defaultColWidth="9" defaultRowHeight="13.5"/>
  <cols>
    <col min="1" max="1" width="3.125" style="2" customWidth="1"/>
    <col min="2" max="2" width="8.5" style="2" customWidth="1"/>
    <col min="3" max="3" width="5.375" style="1" customWidth="1"/>
    <col min="4" max="4" width="7.625" style="1" customWidth="1"/>
    <col min="5" max="6" width="6" style="2" customWidth="1"/>
    <col min="7" max="7" width="6.25" style="1" customWidth="1"/>
    <col min="8" max="8" width="6.375" style="1" customWidth="1"/>
    <col min="9" max="9" width="8.125" style="1" customWidth="1"/>
    <col min="10" max="11" width="4.75" style="1" customWidth="1"/>
    <col min="12" max="12" width="5" style="1" customWidth="1"/>
    <col min="13" max="13" width="5.75" style="1" customWidth="1"/>
    <col min="14" max="14" width="11.875" style="1" customWidth="1"/>
  </cols>
  <sheetData>
    <row r="1" s="1" customFormat="1" ht="6" customHeight="1" spans="1:14">
      <c r="A1" s="3"/>
      <c r="B1" s="3"/>
      <c r="C1" s="3"/>
      <c r="D1" s="3"/>
      <c r="E1" s="2"/>
      <c r="F1" s="2"/>
      <c r="G1" s="4"/>
      <c r="H1" s="4"/>
      <c r="I1" s="4"/>
      <c r="J1" s="4"/>
      <c r="K1" s="4"/>
      <c r="L1" s="4"/>
      <c r="M1" s="4"/>
      <c r="N1" s="4"/>
    </row>
    <row r="2" s="1" customFormat="1" ht="6" customHeight="1" spans="1:14">
      <c r="A2" s="3"/>
      <c r="B2" s="3"/>
      <c r="C2" s="3"/>
      <c r="D2" s="3"/>
      <c r="E2" s="2"/>
      <c r="F2" s="2"/>
      <c r="G2" s="5"/>
      <c r="H2" s="5"/>
      <c r="I2" s="44"/>
      <c r="J2" s="44"/>
      <c r="K2" s="44"/>
      <c r="L2" s="44"/>
      <c r="M2" s="44"/>
      <c r="N2" s="44"/>
    </row>
    <row r="3" s="1" customFormat="1" ht="6" customHeight="1" spans="1:14">
      <c r="A3" s="3"/>
      <c r="B3" s="6"/>
      <c r="C3" s="6"/>
      <c r="D3" s="6"/>
      <c r="E3" s="3"/>
      <c r="F3" s="3"/>
      <c r="G3" s="7"/>
      <c r="H3" s="7"/>
      <c r="I3" s="45"/>
      <c r="J3" s="45"/>
      <c r="K3" s="45"/>
      <c r="L3" s="45"/>
      <c r="M3" s="45"/>
      <c r="N3" s="45"/>
    </row>
    <row r="4" s="1" customFormat="1" ht="6" customHeight="1" spans="1:14">
      <c r="A4" s="2"/>
      <c r="E4" s="2"/>
      <c r="F4" s="2"/>
      <c r="G4" s="8"/>
      <c r="H4" s="8"/>
      <c r="I4" s="4"/>
      <c r="J4" s="4"/>
      <c r="K4" s="4"/>
      <c r="L4" s="4"/>
      <c r="M4" s="4"/>
      <c r="N4" s="4"/>
    </row>
    <row r="5" ht="20" customHeight="1" spans="1:14">
      <c r="A5" s="9" t="s">
        <v>88</v>
      </c>
      <c r="B5" s="9"/>
      <c r="C5" s="10"/>
      <c r="D5" s="10"/>
      <c r="E5" s="9"/>
      <c r="F5" s="9"/>
      <c r="G5" s="10"/>
      <c r="H5" s="10"/>
      <c r="I5" s="10"/>
      <c r="J5" s="10"/>
      <c r="K5" s="10"/>
      <c r="L5" s="10"/>
      <c r="M5" s="10"/>
      <c r="N5" s="10"/>
    </row>
    <row r="6" ht="25" customHeight="1" spans="1:14">
      <c r="A6" s="11" t="s">
        <v>89</v>
      </c>
      <c r="B6" s="11"/>
      <c r="C6" s="12"/>
      <c r="D6" s="12"/>
      <c r="E6" s="11"/>
      <c r="F6" s="11"/>
      <c r="G6" s="12"/>
      <c r="H6" s="12"/>
      <c r="I6" s="12"/>
      <c r="J6" s="12"/>
      <c r="K6" s="12"/>
      <c r="L6" s="12"/>
      <c r="M6" s="12"/>
      <c r="N6" s="12"/>
    </row>
    <row r="7" ht="23" customHeight="1" spans="1:14">
      <c r="A7" s="13" t="s">
        <v>90</v>
      </c>
      <c r="B7" s="13"/>
      <c r="C7" s="14" t="e">
        <f>VLOOKUP($C$8,委托单位信息!#REF!,2,FALSE)</f>
        <v>#REF!</v>
      </c>
      <c r="D7" s="14"/>
      <c r="E7" s="14"/>
      <c r="F7" s="14"/>
      <c r="G7" s="14"/>
      <c r="H7" s="14"/>
      <c r="I7" s="46" t="s">
        <v>91</v>
      </c>
      <c r="J7" s="46"/>
      <c r="K7" s="14" t="e">
        <f>VLOOKUP($C$8,#REF!,17,FALSE)</f>
        <v>#REF!</v>
      </c>
      <c r="L7" s="14"/>
      <c r="M7" s="14"/>
      <c r="N7" s="14"/>
    </row>
    <row r="8" ht="23" customHeight="1" spans="1:14">
      <c r="A8" s="13" t="s">
        <v>92</v>
      </c>
      <c r="B8" s="13"/>
      <c r="C8" s="15" t="s">
        <v>93</v>
      </c>
      <c r="D8" s="15"/>
      <c r="E8" s="15"/>
      <c r="F8" s="15"/>
      <c r="G8" s="15"/>
      <c r="H8" s="15"/>
      <c r="I8" s="15"/>
      <c r="J8" s="15"/>
      <c r="K8" s="15"/>
      <c r="L8" s="15"/>
      <c r="M8" s="15"/>
      <c r="N8" s="15"/>
    </row>
    <row r="9" ht="23" customHeight="1" spans="1:14">
      <c r="A9" s="13" t="s">
        <v>94</v>
      </c>
      <c r="B9" s="13"/>
      <c r="C9" s="14" t="s">
        <v>45</v>
      </c>
      <c r="D9" s="14"/>
      <c r="E9" s="14"/>
      <c r="F9" s="14"/>
      <c r="G9" s="14"/>
      <c r="H9" s="14"/>
      <c r="I9" s="46" t="s">
        <v>95</v>
      </c>
      <c r="J9" s="46"/>
      <c r="K9" s="14" t="e">
        <f>VLOOKUP($C$8,委托单位信息!#REF!,9,FALSE)</f>
        <v>#REF!</v>
      </c>
      <c r="L9" s="14"/>
      <c r="M9" s="14"/>
      <c r="N9" s="14"/>
    </row>
    <row r="10" ht="23" customHeight="1" spans="1:14">
      <c r="A10" s="13" t="s">
        <v>96</v>
      </c>
      <c r="B10" s="13"/>
      <c r="C10" s="14" t="s">
        <v>45</v>
      </c>
      <c r="D10" s="14"/>
      <c r="E10" s="14"/>
      <c r="F10" s="14"/>
      <c r="G10" s="14"/>
      <c r="H10" s="14"/>
      <c r="I10" s="46" t="s">
        <v>97</v>
      </c>
      <c r="J10" s="46"/>
      <c r="K10" s="14" t="s">
        <v>98</v>
      </c>
      <c r="L10" s="14"/>
      <c r="M10" s="14"/>
      <c r="N10" s="14"/>
    </row>
    <row r="11" ht="23" customHeight="1" spans="1:14">
      <c r="A11" s="13" t="s">
        <v>99</v>
      </c>
      <c r="B11" s="13"/>
      <c r="C11" s="14" t="e">
        <f>VLOOKUP($C$8,委托单位信息!#REF!,4,FALSE)</f>
        <v>#REF!</v>
      </c>
      <c r="D11" s="14"/>
      <c r="E11" s="14"/>
      <c r="F11" s="14"/>
      <c r="G11" s="14"/>
      <c r="H11" s="14"/>
      <c r="I11" s="46" t="s">
        <v>100</v>
      </c>
      <c r="J11" s="46"/>
      <c r="K11" s="14" t="e">
        <f>VLOOKUP($C$8,委托单位信息!#REF!,5,FALSE)</f>
        <v>#REF!</v>
      </c>
      <c r="L11" s="14"/>
      <c r="M11" s="14"/>
      <c r="N11" s="14"/>
    </row>
    <row r="12" ht="23" customHeight="1" spans="1:14">
      <c r="A12" s="13" t="s">
        <v>101</v>
      </c>
      <c r="B12" s="13"/>
      <c r="C12" s="16" t="e">
        <f>VLOOKUP($C$8,#REF!,16,FALSE)</f>
        <v>#REF!</v>
      </c>
      <c r="D12" s="16"/>
      <c r="E12" s="13" t="s">
        <v>102</v>
      </c>
      <c r="F12" s="13"/>
      <c r="G12" s="16" t="e">
        <f>G14+28</f>
        <v>#REF!</v>
      </c>
      <c r="H12" s="16"/>
      <c r="I12" s="46" t="s">
        <v>103</v>
      </c>
      <c r="J12" s="46"/>
      <c r="K12" s="16" t="e">
        <f>G12+2</f>
        <v>#REF!</v>
      </c>
      <c r="L12" s="16"/>
      <c r="M12" s="16"/>
      <c r="N12" s="16"/>
    </row>
    <row r="13" ht="9" customHeight="1" spans="1:14">
      <c r="A13" s="17"/>
      <c r="B13" s="17"/>
      <c r="C13" s="18"/>
      <c r="D13" s="18"/>
      <c r="E13" s="17"/>
      <c r="F13" s="17"/>
      <c r="G13" s="18"/>
      <c r="H13" s="18"/>
      <c r="I13" s="18"/>
      <c r="J13" s="25"/>
      <c r="K13" s="25"/>
      <c r="L13" s="25"/>
      <c r="M13" s="25"/>
      <c r="N13" s="18"/>
    </row>
    <row r="14" ht="20" customHeight="1" spans="1:14">
      <c r="A14" s="19" t="s">
        <v>104</v>
      </c>
      <c r="B14" s="19"/>
      <c r="C14" s="20" t="s">
        <v>144</v>
      </c>
      <c r="D14" s="20"/>
      <c r="E14" s="21" t="s">
        <v>106</v>
      </c>
      <c r="F14" s="22"/>
      <c r="G14" s="23" t="e">
        <f>C12+3</f>
        <v>#REF!</v>
      </c>
      <c r="H14" s="24"/>
      <c r="I14" s="47" t="s">
        <v>107</v>
      </c>
      <c r="J14" s="48"/>
      <c r="K14" s="49" t="s">
        <v>108</v>
      </c>
      <c r="L14" s="49"/>
      <c r="M14" s="49"/>
      <c r="N14" s="48"/>
    </row>
    <row r="15" ht="8" customHeight="1" spans="1:14">
      <c r="A15" s="17"/>
      <c r="B15" s="17"/>
      <c r="C15" s="25"/>
      <c r="D15" s="25"/>
      <c r="E15" s="17"/>
      <c r="F15" s="17"/>
      <c r="G15" s="25"/>
      <c r="H15" s="25"/>
      <c r="I15" s="25"/>
      <c r="J15" s="25"/>
      <c r="K15" s="25"/>
      <c r="L15" s="25"/>
      <c r="M15" s="25"/>
      <c r="N15" s="25"/>
    </row>
    <row r="16" ht="18" customHeight="1" spans="1:14">
      <c r="A16" s="19" t="s">
        <v>109</v>
      </c>
      <c r="B16" s="20" t="s">
        <v>53</v>
      </c>
      <c r="C16" s="26" t="s">
        <v>110</v>
      </c>
      <c r="D16" s="26"/>
      <c r="E16" s="27" t="e">
        <f>VLOOKUP($C$8,#REF!,5,FALSE)</f>
        <v>#REF!</v>
      </c>
      <c r="F16" s="27"/>
      <c r="G16" s="28" t="s">
        <v>111</v>
      </c>
      <c r="H16" s="29" t="e">
        <f>VLOOKUP($C$8,#REF!,7,FALSE)</f>
        <v>#REF!</v>
      </c>
      <c r="I16" s="29"/>
      <c r="J16" s="29" t="s">
        <v>112</v>
      </c>
      <c r="K16" s="29"/>
      <c r="L16" s="29"/>
      <c r="M16" s="50" t="e">
        <f>VLOOKUP($C$8,#REF!,6,FALSE)</f>
        <v>#REF!</v>
      </c>
      <c r="N16" s="51"/>
    </row>
    <row r="17" ht="18" customHeight="1" spans="1:14">
      <c r="A17" s="19"/>
      <c r="B17" s="20"/>
      <c r="C17" s="30" t="s">
        <v>113</v>
      </c>
      <c r="D17" s="30"/>
      <c r="E17" s="31" t="e">
        <f>VLOOKUP($C$8,#REF!,4,FALSE)</f>
        <v>#REF!</v>
      </c>
      <c r="F17" s="31"/>
      <c r="G17" s="30"/>
      <c r="H17" s="30"/>
      <c r="I17" s="30"/>
      <c r="J17" s="52" t="s">
        <v>91</v>
      </c>
      <c r="K17" s="52"/>
      <c r="L17" s="52"/>
      <c r="M17" s="53" t="e">
        <f>VLOOKUP($C$8,#REF!,9,FALSE)</f>
        <v>#REF!</v>
      </c>
      <c r="N17" s="54"/>
    </row>
    <row r="18" ht="18" customHeight="1" spans="1:14">
      <c r="A18" s="19"/>
      <c r="B18" s="20" t="s">
        <v>114</v>
      </c>
      <c r="C18" s="26" t="s">
        <v>110</v>
      </c>
      <c r="D18" s="26"/>
      <c r="E18" s="32" t="e">
        <f>VLOOKUP($C$8,#REF!,11,FALSE)</f>
        <v>#REF!</v>
      </c>
      <c r="F18" s="32"/>
      <c r="G18" s="26"/>
      <c r="H18" s="26"/>
      <c r="I18" s="26"/>
      <c r="J18" s="29" t="s">
        <v>115</v>
      </c>
      <c r="K18" s="29"/>
      <c r="L18" s="29"/>
      <c r="M18" s="50" t="s">
        <v>45</v>
      </c>
      <c r="N18" s="51"/>
    </row>
    <row r="19" ht="18" customHeight="1" spans="1:14">
      <c r="A19" s="19"/>
      <c r="B19" s="20"/>
      <c r="C19" s="30" t="s">
        <v>116</v>
      </c>
      <c r="D19" s="30"/>
      <c r="E19" s="31" t="e">
        <f>VLOOKUP($C$8,#REF!,10,FALSE)</f>
        <v>#REF!</v>
      </c>
      <c r="F19" s="31"/>
      <c r="G19" s="30"/>
      <c r="H19" s="30"/>
      <c r="I19" s="30"/>
      <c r="J19" s="52" t="s">
        <v>91</v>
      </c>
      <c r="K19" s="52"/>
      <c r="L19" s="52"/>
      <c r="M19" s="53" t="e">
        <f>VLOOKUP($C$8,#REF!,12,FALSE)</f>
        <v>#REF!</v>
      </c>
      <c r="N19" s="54"/>
    </row>
    <row r="20" ht="18" customHeight="1" spans="1:14">
      <c r="A20" s="19"/>
      <c r="B20" s="20" t="s">
        <v>117</v>
      </c>
      <c r="C20" s="26" t="s">
        <v>110</v>
      </c>
      <c r="D20" s="26"/>
      <c r="E20" s="32" t="s">
        <v>45</v>
      </c>
      <c r="F20" s="32"/>
      <c r="G20" s="26"/>
      <c r="H20" s="26"/>
      <c r="I20" s="26"/>
      <c r="J20" s="29" t="s">
        <v>115</v>
      </c>
      <c r="K20" s="29"/>
      <c r="L20" s="29"/>
      <c r="M20" s="50" t="s">
        <v>45</v>
      </c>
      <c r="N20" s="51"/>
    </row>
    <row r="21" ht="18" customHeight="1" spans="1:14">
      <c r="A21" s="19"/>
      <c r="B21" s="20"/>
      <c r="C21" s="30" t="s">
        <v>116</v>
      </c>
      <c r="D21" s="30"/>
      <c r="E21" s="31" t="s">
        <v>45</v>
      </c>
      <c r="F21" s="31"/>
      <c r="G21" s="30"/>
      <c r="H21" s="30"/>
      <c r="I21" s="30"/>
      <c r="J21" s="52" t="s">
        <v>91</v>
      </c>
      <c r="K21" s="52"/>
      <c r="L21" s="52"/>
      <c r="M21" s="53" t="s">
        <v>45</v>
      </c>
      <c r="N21" s="54"/>
    </row>
    <row r="22" ht="18" customHeight="1" spans="1:14">
      <c r="A22" s="19"/>
      <c r="B22" s="20" t="s">
        <v>118</v>
      </c>
      <c r="C22" s="26" t="s">
        <v>110</v>
      </c>
      <c r="D22" s="26"/>
      <c r="E22" s="32" t="s">
        <v>119</v>
      </c>
      <c r="F22" s="32"/>
      <c r="G22" s="26"/>
      <c r="H22" s="26"/>
      <c r="I22" s="26"/>
      <c r="J22" s="29" t="s">
        <v>120</v>
      </c>
      <c r="K22" s="29"/>
      <c r="L22" s="29"/>
      <c r="M22" s="55" t="s">
        <v>121</v>
      </c>
      <c r="N22" s="56"/>
    </row>
    <row r="23" ht="18" customHeight="1" spans="1:14">
      <c r="A23" s="19"/>
      <c r="B23" s="20"/>
      <c r="C23" s="30" t="s">
        <v>116</v>
      </c>
      <c r="D23" s="30"/>
      <c r="E23" s="31" t="e">
        <f>VLOOKUP($C$8,#REF!,13,FALSE)</f>
        <v>#REF!</v>
      </c>
      <c r="F23" s="31"/>
      <c r="G23" s="30"/>
      <c r="H23" s="30"/>
      <c r="I23" s="30"/>
      <c r="J23" s="52" t="s">
        <v>91</v>
      </c>
      <c r="K23" s="52"/>
      <c r="L23" s="52"/>
      <c r="M23" s="53" t="e">
        <f>VLOOKUP($C$8,#REF!,15,FALSE)</f>
        <v>#REF!</v>
      </c>
      <c r="N23" s="54"/>
    </row>
    <row r="24" ht="18" customHeight="1" spans="1:14">
      <c r="A24" s="19"/>
      <c r="B24" s="20" t="s">
        <v>122</v>
      </c>
      <c r="C24" s="26" t="s">
        <v>110</v>
      </c>
      <c r="D24" s="26"/>
      <c r="E24" s="32" t="s">
        <v>45</v>
      </c>
      <c r="F24" s="32"/>
      <c r="G24" s="26"/>
      <c r="H24" s="26"/>
      <c r="I24" s="26"/>
      <c r="J24" s="29" t="s">
        <v>120</v>
      </c>
      <c r="K24" s="29"/>
      <c r="L24" s="29"/>
      <c r="M24" s="50" t="s">
        <v>45</v>
      </c>
      <c r="N24" s="51"/>
    </row>
    <row r="25" ht="18" customHeight="1" spans="1:14">
      <c r="A25" s="19"/>
      <c r="B25" s="20"/>
      <c r="C25" s="30" t="s">
        <v>116</v>
      </c>
      <c r="D25" s="30"/>
      <c r="E25" s="31" t="s">
        <v>45</v>
      </c>
      <c r="F25" s="31"/>
      <c r="G25" s="30"/>
      <c r="H25" s="30"/>
      <c r="I25" s="30"/>
      <c r="J25" s="52" t="s">
        <v>91</v>
      </c>
      <c r="K25" s="52"/>
      <c r="L25" s="52"/>
      <c r="M25" s="53" t="s">
        <v>45</v>
      </c>
      <c r="N25" s="54"/>
    </row>
    <row r="26" ht="18" customHeight="1" spans="1:14">
      <c r="A26" s="19"/>
      <c r="B26" s="20" t="s">
        <v>123</v>
      </c>
      <c r="C26" s="26" t="s">
        <v>124</v>
      </c>
      <c r="D26" s="26"/>
      <c r="E26" s="32" t="s">
        <v>45</v>
      </c>
      <c r="F26" s="32"/>
      <c r="G26" s="26"/>
      <c r="H26" s="26"/>
      <c r="I26" s="26"/>
      <c r="J26" s="29" t="s">
        <v>125</v>
      </c>
      <c r="K26" s="29"/>
      <c r="L26" s="29"/>
      <c r="M26" s="50" t="s">
        <v>45</v>
      </c>
      <c r="N26" s="51"/>
    </row>
    <row r="27" ht="18" customHeight="1" spans="1:14">
      <c r="A27" s="19"/>
      <c r="B27" s="20"/>
      <c r="C27" s="30" t="s">
        <v>116</v>
      </c>
      <c r="D27" s="30"/>
      <c r="E27" s="31" t="s">
        <v>45</v>
      </c>
      <c r="F27" s="31"/>
      <c r="G27" s="30"/>
      <c r="H27" s="30"/>
      <c r="I27" s="30"/>
      <c r="J27" s="52" t="s">
        <v>91</v>
      </c>
      <c r="K27" s="52"/>
      <c r="L27" s="52"/>
      <c r="M27" s="53" t="s">
        <v>45</v>
      </c>
      <c r="N27" s="54"/>
    </row>
    <row r="28" ht="18" customHeight="1" spans="1:14">
      <c r="A28" s="19"/>
      <c r="B28" s="20" t="s">
        <v>126</v>
      </c>
      <c r="C28" s="26" t="s">
        <v>124</v>
      </c>
      <c r="D28" s="26"/>
      <c r="E28" s="32" t="s">
        <v>45</v>
      </c>
      <c r="F28" s="32"/>
      <c r="G28" s="26"/>
      <c r="H28" s="26"/>
      <c r="I28" s="26"/>
      <c r="J28" s="29" t="s">
        <v>125</v>
      </c>
      <c r="K28" s="29"/>
      <c r="L28" s="29"/>
      <c r="M28" s="50" t="s">
        <v>45</v>
      </c>
      <c r="N28" s="51"/>
    </row>
    <row r="29" ht="18" customHeight="1" spans="1:14">
      <c r="A29" s="19"/>
      <c r="B29" s="20"/>
      <c r="C29" s="30" t="s">
        <v>116</v>
      </c>
      <c r="D29" s="30"/>
      <c r="E29" s="31" t="s">
        <v>45</v>
      </c>
      <c r="F29" s="31"/>
      <c r="G29" s="30"/>
      <c r="H29" s="30"/>
      <c r="I29" s="30"/>
      <c r="J29" s="52" t="s">
        <v>91</v>
      </c>
      <c r="K29" s="52"/>
      <c r="L29" s="52"/>
      <c r="M29" s="53" t="s">
        <v>45</v>
      </c>
      <c r="N29" s="54"/>
    </row>
    <row r="30" ht="18" customHeight="1" spans="1:14">
      <c r="A30" s="19"/>
      <c r="B30" s="20" t="s">
        <v>127</v>
      </c>
      <c r="C30" s="26" t="s">
        <v>124</v>
      </c>
      <c r="D30" s="26"/>
      <c r="E30" s="32" t="s">
        <v>45</v>
      </c>
      <c r="F30" s="32"/>
      <c r="G30" s="26"/>
      <c r="H30" s="26"/>
      <c r="I30" s="26"/>
      <c r="J30" s="29" t="s">
        <v>125</v>
      </c>
      <c r="K30" s="29"/>
      <c r="L30" s="29"/>
      <c r="M30" s="50" t="s">
        <v>45</v>
      </c>
      <c r="N30" s="51"/>
    </row>
    <row r="31" ht="18" customHeight="1" spans="1:14">
      <c r="A31" s="19"/>
      <c r="B31" s="20"/>
      <c r="C31" s="33" t="s">
        <v>116</v>
      </c>
      <c r="D31" s="33"/>
      <c r="E31" s="34" t="s">
        <v>45</v>
      </c>
      <c r="F31" s="34"/>
      <c r="G31" s="33"/>
      <c r="H31" s="33"/>
      <c r="I31" s="33"/>
      <c r="J31" s="57" t="s">
        <v>91</v>
      </c>
      <c r="K31" s="57"/>
      <c r="L31" s="57"/>
      <c r="M31" s="58" t="s">
        <v>45</v>
      </c>
      <c r="N31" s="59"/>
    </row>
    <row r="32" s="2" customFormat="1" ht="32" customHeight="1" spans="1:14">
      <c r="A32" s="19" t="s">
        <v>128</v>
      </c>
      <c r="B32" s="19" t="s">
        <v>129</v>
      </c>
      <c r="C32" s="35"/>
      <c r="D32" s="35" t="s">
        <v>53</v>
      </c>
      <c r="E32" s="35" t="s">
        <v>114</v>
      </c>
      <c r="F32" s="35" t="s">
        <v>117</v>
      </c>
      <c r="G32" s="35" t="s">
        <v>118</v>
      </c>
      <c r="H32" s="35" t="s">
        <v>122</v>
      </c>
      <c r="I32" s="35" t="s">
        <v>123</v>
      </c>
      <c r="J32" s="60" t="s">
        <v>130</v>
      </c>
      <c r="K32" s="61"/>
      <c r="L32" s="60" t="s">
        <v>131</v>
      </c>
      <c r="M32" s="61"/>
      <c r="N32" s="35" t="s">
        <v>132</v>
      </c>
    </row>
    <row r="33" ht="25" customHeight="1" spans="1:14">
      <c r="A33" s="19"/>
      <c r="B33" s="20" t="s">
        <v>133</v>
      </c>
      <c r="C33" s="20"/>
      <c r="D33" s="20">
        <v>430</v>
      </c>
      <c r="E33" s="19">
        <v>780</v>
      </c>
      <c r="F33" s="19" t="s">
        <v>134</v>
      </c>
      <c r="G33" s="20">
        <v>930</v>
      </c>
      <c r="H33" s="20" t="s">
        <v>134</v>
      </c>
      <c r="I33" s="20" t="s">
        <v>134</v>
      </c>
      <c r="J33" s="21" t="s">
        <v>134</v>
      </c>
      <c r="K33" s="22"/>
      <c r="L33" s="21" t="s">
        <v>134</v>
      </c>
      <c r="M33" s="22"/>
      <c r="N33" s="20">
        <v>195</v>
      </c>
    </row>
    <row r="34" ht="25" customHeight="1" spans="1:14">
      <c r="A34" s="19"/>
      <c r="B34" s="20" t="s">
        <v>135</v>
      </c>
      <c r="C34" s="20"/>
      <c r="D34" s="36">
        <v>1</v>
      </c>
      <c r="E34" s="19">
        <v>1.81</v>
      </c>
      <c r="F34" s="19" t="s">
        <v>134</v>
      </c>
      <c r="G34" s="20">
        <v>2.29</v>
      </c>
      <c r="H34" s="20" t="s">
        <v>134</v>
      </c>
      <c r="I34" s="20" t="s">
        <v>134</v>
      </c>
      <c r="J34" s="21" t="s">
        <v>134</v>
      </c>
      <c r="K34" s="22"/>
      <c r="L34" s="21" t="s">
        <v>134</v>
      </c>
      <c r="M34" s="22"/>
      <c r="N34" s="20">
        <v>0.45</v>
      </c>
    </row>
    <row r="35" ht="36" customHeight="1" spans="1:14">
      <c r="A35" s="21" t="s">
        <v>11</v>
      </c>
      <c r="B35" s="37"/>
      <c r="C35" s="38" t="s">
        <v>136</v>
      </c>
      <c r="D35" s="39"/>
      <c r="E35" s="39"/>
      <c r="F35" s="39"/>
      <c r="G35" s="39"/>
      <c r="H35" s="39"/>
      <c r="I35" s="39"/>
      <c r="J35" s="39"/>
      <c r="K35" s="39"/>
      <c r="L35" s="39"/>
      <c r="M35" s="39"/>
      <c r="N35" s="62"/>
    </row>
    <row r="36" ht="56" customHeight="1" spans="1:14">
      <c r="A36" s="40" t="s">
        <v>137</v>
      </c>
      <c r="B36" s="40"/>
      <c r="C36" s="40"/>
      <c r="D36" s="40"/>
      <c r="E36" s="40"/>
      <c r="F36" s="40"/>
      <c r="G36" s="40"/>
      <c r="H36" s="40"/>
      <c r="I36" s="40"/>
      <c r="J36" s="40"/>
      <c r="K36" s="40"/>
      <c r="L36" s="40"/>
      <c r="M36" s="40"/>
      <c r="N36" s="40"/>
    </row>
    <row r="37" ht="56" customHeight="1" spans="1:14">
      <c r="A37" s="17" t="s">
        <v>138</v>
      </c>
      <c r="B37" s="17"/>
      <c r="C37" s="40"/>
      <c r="D37" s="40"/>
      <c r="E37" s="41" t="s">
        <v>139</v>
      </c>
      <c r="F37" s="41"/>
      <c r="G37" s="40"/>
      <c r="H37" s="40"/>
      <c r="I37" s="40"/>
      <c r="J37" s="17" t="s">
        <v>140</v>
      </c>
      <c r="K37" s="17"/>
      <c r="L37" s="40"/>
      <c r="M37" s="40"/>
      <c r="N37" s="40"/>
    </row>
    <row r="38" ht="27" customHeight="1" spans="1:14">
      <c r="A38" s="42" t="s">
        <v>141</v>
      </c>
      <c r="B38" s="42"/>
      <c r="C38" s="42"/>
      <c r="D38" s="42"/>
      <c r="E38" s="42"/>
      <c r="F38" s="42"/>
      <c r="G38" s="42"/>
      <c r="H38" s="43"/>
      <c r="I38" s="43"/>
      <c r="J38" s="42" t="s">
        <v>142</v>
      </c>
      <c r="K38" s="42"/>
      <c r="L38" s="42"/>
      <c r="M38" s="42"/>
      <c r="N38" s="42"/>
    </row>
  </sheetData>
  <mergeCells count="129">
    <mergeCell ref="G1:N1"/>
    <mergeCell ref="I2:N2"/>
    <mergeCell ref="I3:N3"/>
    <mergeCell ref="A5:N5"/>
    <mergeCell ref="A6:N6"/>
    <mergeCell ref="A7:B7"/>
    <mergeCell ref="C7:H7"/>
    <mergeCell ref="I7:J7"/>
    <mergeCell ref="K7:N7"/>
    <mergeCell ref="A8:B8"/>
    <mergeCell ref="C8:N8"/>
    <mergeCell ref="A9:B9"/>
    <mergeCell ref="C9:H9"/>
    <mergeCell ref="I9:J9"/>
    <mergeCell ref="K9:N9"/>
    <mergeCell ref="A10:B10"/>
    <mergeCell ref="C10:H10"/>
    <mergeCell ref="I10:J10"/>
    <mergeCell ref="K10:N10"/>
    <mergeCell ref="A11:B11"/>
    <mergeCell ref="C11:H11"/>
    <mergeCell ref="I11:J11"/>
    <mergeCell ref="K11:N11"/>
    <mergeCell ref="A12:B12"/>
    <mergeCell ref="C12:D12"/>
    <mergeCell ref="E12:F12"/>
    <mergeCell ref="G12:H12"/>
    <mergeCell ref="I12:J12"/>
    <mergeCell ref="K12:N12"/>
    <mergeCell ref="A14:B14"/>
    <mergeCell ref="C14:D14"/>
    <mergeCell ref="E14:F14"/>
    <mergeCell ref="G14:H14"/>
    <mergeCell ref="I14:J14"/>
    <mergeCell ref="K14:N14"/>
    <mergeCell ref="C16:D16"/>
    <mergeCell ref="E16:F16"/>
    <mergeCell ref="H16:I16"/>
    <mergeCell ref="J16:L16"/>
    <mergeCell ref="M16:N16"/>
    <mergeCell ref="C17:D17"/>
    <mergeCell ref="E17:I17"/>
    <mergeCell ref="J17:L17"/>
    <mergeCell ref="M17:N17"/>
    <mergeCell ref="C18:D18"/>
    <mergeCell ref="E18:I18"/>
    <mergeCell ref="J18:L18"/>
    <mergeCell ref="M18:N18"/>
    <mergeCell ref="C19:D19"/>
    <mergeCell ref="E19:I19"/>
    <mergeCell ref="J19:L19"/>
    <mergeCell ref="M19:N19"/>
    <mergeCell ref="C20:D20"/>
    <mergeCell ref="E20:I20"/>
    <mergeCell ref="J20:L20"/>
    <mergeCell ref="M20:N20"/>
    <mergeCell ref="C21:D21"/>
    <mergeCell ref="E21:I21"/>
    <mergeCell ref="J21:L21"/>
    <mergeCell ref="M21:N21"/>
    <mergeCell ref="C22:D22"/>
    <mergeCell ref="E22:I22"/>
    <mergeCell ref="J22:L22"/>
    <mergeCell ref="M22:N22"/>
    <mergeCell ref="C23:D23"/>
    <mergeCell ref="E23:I23"/>
    <mergeCell ref="J23:L23"/>
    <mergeCell ref="M23:N23"/>
    <mergeCell ref="C24:D24"/>
    <mergeCell ref="E24:I24"/>
    <mergeCell ref="J24:L24"/>
    <mergeCell ref="M24:N24"/>
    <mergeCell ref="C25:D25"/>
    <mergeCell ref="E25:I25"/>
    <mergeCell ref="J25:L25"/>
    <mergeCell ref="M25:N25"/>
    <mergeCell ref="C26:D26"/>
    <mergeCell ref="E26:I26"/>
    <mergeCell ref="J26:L26"/>
    <mergeCell ref="M26:N26"/>
    <mergeCell ref="C27:D27"/>
    <mergeCell ref="E27:I27"/>
    <mergeCell ref="J27:L27"/>
    <mergeCell ref="M27:N27"/>
    <mergeCell ref="C28:D28"/>
    <mergeCell ref="E28:I28"/>
    <mergeCell ref="J28:L28"/>
    <mergeCell ref="M28:N28"/>
    <mergeCell ref="C29:D29"/>
    <mergeCell ref="E29:I29"/>
    <mergeCell ref="J29:L29"/>
    <mergeCell ref="M29:N29"/>
    <mergeCell ref="C30:D30"/>
    <mergeCell ref="E30:I30"/>
    <mergeCell ref="J30:L30"/>
    <mergeCell ref="M30:N30"/>
    <mergeCell ref="C31:D31"/>
    <mergeCell ref="E31:I31"/>
    <mergeCell ref="J31:L31"/>
    <mergeCell ref="M31:N31"/>
    <mergeCell ref="B32:C32"/>
    <mergeCell ref="J32:K32"/>
    <mergeCell ref="L32:M32"/>
    <mergeCell ref="B33:C33"/>
    <mergeCell ref="J33:K33"/>
    <mergeCell ref="L33:M33"/>
    <mergeCell ref="B34:C34"/>
    <mergeCell ref="J34:K34"/>
    <mergeCell ref="L34:M34"/>
    <mergeCell ref="A35:B35"/>
    <mergeCell ref="C35:N35"/>
    <mergeCell ref="A36:N36"/>
    <mergeCell ref="A37:B37"/>
    <mergeCell ref="E37:F37"/>
    <mergeCell ref="J37:K37"/>
    <mergeCell ref="A38:G38"/>
    <mergeCell ref="J38:N38"/>
    <mergeCell ref="A1:A2"/>
    <mergeCell ref="A16:A31"/>
    <mergeCell ref="A32:A34"/>
    <mergeCell ref="B16:B17"/>
    <mergeCell ref="B18:B19"/>
    <mergeCell ref="B20:B21"/>
    <mergeCell ref="B22:B23"/>
    <mergeCell ref="B24:B25"/>
    <mergeCell ref="B26:B27"/>
    <mergeCell ref="B28:B29"/>
    <mergeCell ref="B30:B31"/>
    <mergeCell ref="B1:D2"/>
  </mergeCells>
  <dataValidations count="1">
    <dataValidation type="list" allowBlank="1" showInputMessage="1" showErrorMessage="1" sqref="C8:N8">
      <formula1>委托单位信息!#REF!</formula1>
    </dataValidation>
  </dataValidations>
  <printOptions horizontalCentered="1"/>
  <pageMargins left="0.590277777777778" right="0.354166666666667" top="0.196527777777778" bottom="0.472222222222222" header="0.0784722222222222" footer="0.196527777777778"/>
  <pageSetup paperSize="9" orientation="portrait" horizontalDpi="600"/>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N38"/>
  <sheetViews>
    <sheetView view="pageBreakPreview" zoomScaleNormal="100" topLeftCell="A2" workbookViewId="0">
      <selection activeCell="C8" sqref="C8:N8"/>
    </sheetView>
  </sheetViews>
  <sheetFormatPr defaultColWidth="9" defaultRowHeight="13.5"/>
  <cols>
    <col min="1" max="1" width="3.125" style="2" customWidth="1"/>
    <col min="2" max="2" width="8.5" style="2" customWidth="1"/>
    <col min="3" max="3" width="5.375" style="1" customWidth="1"/>
    <col min="4" max="4" width="7.625" style="1" customWidth="1"/>
    <col min="5" max="6" width="6" style="2" customWidth="1"/>
    <col min="7" max="7" width="6.25" style="1" customWidth="1"/>
    <col min="8" max="8" width="6.375" style="1" customWidth="1"/>
    <col min="9" max="9" width="8.125" style="1" customWidth="1"/>
    <col min="10" max="11" width="4.75" style="1" customWidth="1"/>
    <col min="12" max="12" width="5" style="1" customWidth="1"/>
    <col min="13" max="13" width="5.75" style="1" customWidth="1"/>
    <col min="14" max="14" width="11.875" style="1" customWidth="1"/>
  </cols>
  <sheetData>
    <row r="1" s="1" customFormat="1" ht="6" customHeight="1" spans="1:14">
      <c r="A1" s="3"/>
      <c r="B1" s="3"/>
      <c r="C1" s="3"/>
      <c r="D1" s="3"/>
      <c r="E1" s="2"/>
      <c r="F1" s="2"/>
      <c r="G1" s="4"/>
      <c r="H1" s="4"/>
      <c r="I1" s="4"/>
      <c r="J1" s="4"/>
      <c r="K1" s="4"/>
      <c r="L1" s="4"/>
      <c r="M1" s="4"/>
      <c r="N1" s="4"/>
    </row>
    <row r="2" s="1" customFormat="1" ht="6" customHeight="1" spans="1:14">
      <c r="A2" s="3"/>
      <c r="B2" s="3"/>
      <c r="C2" s="3"/>
      <c r="D2" s="3"/>
      <c r="E2" s="2"/>
      <c r="F2" s="2"/>
      <c r="G2" s="5"/>
      <c r="H2" s="5"/>
      <c r="I2" s="44"/>
      <c r="J2" s="44"/>
      <c r="K2" s="44"/>
      <c r="L2" s="44"/>
      <c r="M2" s="44"/>
      <c r="N2" s="44"/>
    </row>
    <row r="3" s="1" customFormat="1" ht="6" customHeight="1" spans="1:14">
      <c r="A3" s="3"/>
      <c r="B3" s="6"/>
      <c r="C3" s="6"/>
      <c r="D3" s="6"/>
      <c r="E3" s="3"/>
      <c r="F3" s="3"/>
      <c r="G3" s="7"/>
      <c r="H3" s="7"/>
      <c r="I3" s="45"/>
      <c r="J3" s="45"/>
      <c r="K3" s="45"/>
      <c r="L3" s="45"/>
      <c r="M3" s="45"/>
      <c r="N3" s="45"/>
    </row>
    <row r="4" s="1" customFormat="1" ht="6" customHeight="1" spans="1:14">
      <c r="A4" s="2"/>
      <c r="E4" s="2"/>
      <c r="F4" s="2"/>
      <c r="G4" s="8"/>
      <c r="H4" s="8"/>
      <c r="I4" s="4"/>
      <c r="J4" s="4"/>
      <c r="K4" s="4"/>
      <c r="L4" s="4"/>
      <c r="M4" s="4"/>
      <c r="N4" s="4"/>
    </row>
    <row r="5" ht="20" customHeight="1" spans="1:14">
      <c r="A5" s="9" t="s">
        <v>88</v>
      </c>
      <c r="B5" s="9"/>
      <c r="C5" s="10"/>
      <c r="D5" s="10"/>
      <c r="E5" s="9"/>
      <c r="F5" s="9"/>
      <c r="G5" s="10"/>
      <c r="H5" s="10"/>
      <c r="I5" s="10"/>
      <c r="J5" s="10"/>
      <c r="K5" s="10"/>
      <c r="L5" s="10"/>
      <c r="M5" s="10"/>
      <c r="N5" s="10"/>
    </row>
    <row r="6" ht="25" customHeight="1" spans="1:14">
      <c r="A6" s="11" t="s">
        <v>89</v>
      </c>
      <c r="B6" s="11"/>
      <c r="C6" s="12"/>
      <c r="D6" s="12"/>
      <c r="E6" s="11"/>
      <c r="F6" s="11"/>
      <c r="G6" s="12"/>
      <c r="H6" s="12"/>
      <c r="I6" s="12"/>
      <c r="J6" s="12"/>
      <c r="K6" s="12"/>
      <c r="L6" s="12"/>
      <c r="M6" s="12"/>
      <c r="N6" s="12"/>
    </row>
    <row r="7" ht="23" customHeight="1" spans="1:14">
      <c r="A7" s="13" t="s">
        <v>90</v>
      </c>
      <c r="B7" s="13"/>
      <c r="C7" s="14" t="e">
        <f>VLOOKUP($C$8,委托单位信息!#REF!,2,FALSE)</f>
        <v>#REF!</v>
      </c>
      <c r="D7" s="14"/>
      <c r="E7" s="14"/>
      <c r="F7" s="14"/>
      <c r="G7" s="14"/>
      <c r="H7" s="14"/>
      <c r="I7" s="46" t="s">
        <v>91</v>
      </c>
      <c r="J7" s="46"/>
      <c r="K7" s="14" t="e">
        <f>VLOOKUP($C$8,#REF!,17,FALSE)</f>
        <v>#REF!</v>
      </c>
      <c r="L7" s="14"/>
      <c r="M7" s="14"/>
      <c r="N7" s="14"/>
    </row>
    <row r="8" ht="23" customHeight="1" spans="1:14">
      <c r="A8" s="13" t="s">
        <v>92</v>
      </c>
      <c r="B8" s="13"/>
      <c r="C8" s="15" t="s">
        <v>93</v>
      </c>
      <c r="D8" s="15"/>
      <c r="E8" s="15"/>
      <c r="F8" s="15"/>
      <c r="G8" s="15"/>
      <c r="H8" s="15"/>
      <c r="I8" s="15"/>
      <c r="J8" s="15"/>
      <c r="K8" s="15"/>
      <c r="L8" s="15"/>
      <c r="M8" s="15"/>
      <c r="N8" s="15"/>
    </row>
    <row r="9" ht="23" customHeight="1" spans="1:14">
      <c r="A9" s="13" t="s">
        <v>94</v>
      </c>
      <c r="B9" s="13"/>
      <c r="C9" s="14" t="s">
        <v>45</v>
      </c>
      <c r="D9" s="14"/>
      <c r="E9" s="14"/>
      <c r="F9" s="14"/>
      <c r="G9" s="14"/>
      <c r="H9" s="14"/>
      <c r="I9" s="46" t="s">
        <v>95</v>
      </c>
      <c r="J9" s="46"/>
      <c r="K9" s="14" t="e">
        <f>VLOOKUP($C$8,委托单位信息!#REF!,9,FALSE)</f>
        <v>#REF!</v>
      </c>
      <c r="L9" s="14"/>
      <c r="M9" s="14"/>
      <c r="N9" s="14"/>
    </row>
    <row r="10" ht="23" customHeight="1" spans="1:14">
      <c r="A10" s="13" t="s">
        <v>96</v>
      </c>
      <c r="B10" s="13"/>
      <c r="C10" s="14" t="s">
        <v>45</v>
      </c>
      <c r="D10" s="14"/>
      <c r="E10" s="14"/>
      <c r="F10" s="14"/>
      <c r="G10" s="14"/>
      <c r="H10" s="14"/>
      <c r="I10" s="46" t="s">
        <v>97</v>
      </c>
      <c r="J10" s="46"/>
      <c r="K10" s="14" t="s">
        <v>98</v>
      </c>
      <c r="L10" s="14"/>
      <c r="M10" s="14"/>
      <c r="N10" s="14"/>
    </row>
    <row r="11" ht="23" customHeight="1" spans="1:14">
      <c r="A11" s="13" t="s">
        <v>99</v>
      </c>
      <c r="B11" s="13"/>
      <c r="C11" s="14" t="e">
        <f>VLOOKUP($C$8,委托单位信息!#REF!,4,FALSE)</f>
        <v>#REF!</v>
      </c>
      <c r="D11" s="14"/>
      <c r="E11" s="14"/>
      <c r="F11" s="14"/>
      <c r="G11" s="14"/>
      <c r="H11" s="14"/>
      <c r="I11" s="46" t="s">
        <v>100</v>
      </c>
      <c r="J11" s="46"/>
      <c r="K11" s="14" t="e">
        <f>VLOOKUP($C$8,委托单位信息!#REF!,5,FALSE)</f>
        <v>#REF!</v>
      </c>
      <c r="L11" s="14"/>
      <c r="M11" s="14"/>
      <c r="N11" s="14"/>
    </row>
    <row r="12" ht="23" customHeight="1" spans="1:14">
      <c r="A12" s="13" t="s">
        <v>101</v>
      </c>
      <c r="B12" s="13"/>
      <c r="C12" s="16" t="e">
        <f>VLOOKUP($C$8,#REF!,16,FALSE)</f>
        <v>#REF!</v>
      </c>
      <c r="D12" s="16"/>
      <c r="E12" s="13" t="s">
        <v>102</v>
      </c>
      <c r="F12" s="13"/>
      <c r="G12" s="16" t="e">
        <f>G14+28</f>
        <v>#REF!</v>
      </c>
      <c r="H12" s="16"/>
      <c r="I12" s="46" t="s">
        <v>103</v>
      </c>
      <c r="J12" s="46"/>
      <c r="K12" s="16" t="e">
        <f>G12+2</f>
        <v>#REF!</v>
      </c>
      <c r="L12" s="16"/>
      <c r="M12" s="16"/>
      <c r="N12" s="16"/>
    </row>
    <row r="13" ht="9" customHeight="1" spans="1:14">
      <c r="A13" s="17"/>
      <c r="B13" s="17"/>
      <c r="C13" s="18"/>
      <c r="D13" s="18"/>
      <c r="E13" s="17"/>
      <c r="F13" s="17"/>
      <c r="G13" s="18"/>
      <c r="H13" s="18"/>
      <c r="I13" s="18"/>
      <c r="J13" s="25"/>
      <c r="K13" s="25"/>
      <c r="L13" s="25"/>
      <c r="M13" s="25"/>
      <c r="N13" s="18"/>
    </row>
    <row r="14" ht="20" customHeight="1" spans="1:14">
      <c r="A14" s="19" t="s">
        <v>104</v>
      </c>
      <c r="B14" s="19"/>
      <c r="C14" s="20" t="s">
        <v>144</v>
      </c>
      <c r="D14" s="20"/>
      <c r="E14" s="21" t="s">
        <v>106</v>
      </c>
      <c r="F14" s="22"/>
      <c r="G14" s="23" t="e">
        <f>C12+3</f>
        <v>#REF!</v>
      </c>
      <c r="H14" s="24"/>
      <c r="I14" s="47" t="s">
        <v>107</v>
      </c>
      <c r="J14" s="48"/>
      <c r="K14" s="49" t="s">
        <v>108</v>
      </c>
      <c r="L14" s="49"/>
      <c r="M14" s="49"/>
      <c r="N14" s="48"/>
    </row>
    <row r="15" ht="8" customHeight="1" spans="1:14">
      <c r="A15" s="17"/>
      <c r="B15" s="17"/>
      <c r="C15" s="25"/>
      <c r="D15" s="25"/>
      <c r="E15" s="17"/>
      <c r="F15" s="17"/>
      <c r="G15" s="25"/>
      <c r="H15" s="25"/>
      <c r="I15" s="25"/>
      <c r="J15" s="25"/>
      <c r="K15" s="25"/>
      <c r="L15" s="25"/>
      <c r="M15" s="25"/>
      <c r="N15" s="25"/>
    </row>
    <row r="16" ht="18" customHeight="1" spans="1:14">
      <c r="A16" s="19" t="s">
        <v>109</v>
      </c>
      <c r="B16" s="20" t="s">
        <v>53</v>
      </c>
      <c r="C16" s="26" t="s">
        <v>110</v>
      </c>
      <c r="D16" s="26"/>
      <c r="E16" s="27" t="e">
        <f>VLOOKUP($C$8,#REF!,5,FALSE)</f>
        <v>#REF!</v>
      </c>
      <c r="F16" s="27"/>
      <c r="G16" s="28" t="s">
        <v>111</v>
      </c>
      <c r="H16" s="29" t="e">
        <f>VLOOKUP($C$8,#REF!,7,FALSE)</f>
        <v>#REF!</v>
      </c>
      <c r="I16" s="29"/>
      <c r="J16" s="29" t="s">
        <v>112</v>
      </c>
      <c r="K16" s="29"/>
      <c r="L16" s="29"/>
      <c r="M16" s="50" t="e">
        <f>VLOOKUP($C$8,#REF!,6,FALSE)</f>
        <v>#REF!</v>
      </c>
      <c r="N16" s="51"/>
    </row>
    <row r="17" ht="18" customHeight="1" spans="1:14">
      <c r="A17" s="19"/>
      <c r="B17" s="20"/>
      <c r="C17" s="30" t="s">
        <v>113</v>
      </c>
      <c r="D17" s="30"/>
      <c r="E17" s="31" t="e">
        <f>VLOOKUP($C$8,#REF!,4,FALSE)</f>
        <v>#REF!</v>
      </c>
      <c r="F17" s="31"/>
      <c r="G17" s="30"/>
      <c r="H17" s="30"/>
      <c r="I17" s="30"/>
      <c r="J17" s="52" t="s">
        <v>91</v>
      </c>
      <c r="K17" s="52"/>
      <c r="L17" s="52"/>
      <c r="M17" s="53" t="e">
        <f>VLOOKUP($C$8,#REF!,9,FALSE)</f>
        <v>#REF!</v>
      </c>
      <c r="N17" s="54"/>
    </row>
    <row r="18" ht="18" customHeight="1" spans="1:14">
      <c r="A18" s="19"/>
      <c r="B18" s="20" t="s">
        <v>114</v>
      </c>
      <c r="C18" s="26" t="s">
        <v>110</v>
      </c>
      <c r="D18" s="26"/>
      <c r="E18" s="32" t="e">
        <f>VLOOKUP($C$8,#REF!,11,FALSE)</f>
        <v>#REF!</v>
      </c>
      <c r="F18" s="32"/>
      <c r="G18" s="26"/>
      <c r="H18" s="26"/>
      <c r="I18" s="26"/>
      <c r="J18" s="29" t="s">
        <v>115</v>
      </c>
      <c r="K18" s="29"/>
      <c r="L18" s="29"/>
      <c r="M18" s="50" t="s">
        <v>45</v>
      </c>
      <c r="N18" s="51"/>
    </row>
    <row r="19" ht="18" customHeight="1" spans="1:14">
      <c r="A19" s="19"/>
      <c r="B19" s="20"/>
      <c r="C19" s="30" t="s">
        <v>116</v>
      </c>
      <c r="D19" s="30"/>
      <c r="E19" s="31" t="e">
        <f>VLOOKUP($C$8,#REF!,10,FALSE)</f>
        <v>#REF!</v>
      </c>
      <c r="F19" s="31"/>
      <c r="G19" s="30"/>
      <c r="H19" s="30"/>
      <c r="I19" s="30"/>
      <c r="J19" s="52" t="s">
        <v>91</v>
      </c>
      <c r="K19" s="52"/>
      <c r="L19" s="52"/>
      <c r="M19" s="53" t="e">
        <f>VLOOKUP($C$8,#REF!,12,FALSE)</f>
        <v>#REF!</v>
      </c>
      <c r="N19" s="54"/>
    </row>
    <row r="20" ht="18" customHeight="1" spans="1:14">
      <c r="A20" s="19"/>
      <c r="B20" s="20" t="s">
        <v>117</v>
      </c>
      <c r="C20" s="26" t="s">
        <v>110</v>
      </c>
      <c r="D20" s="26"/>
      <c r="E20" s="32" t="s">
        <v>45</v>
      </c>
      <c r="F20" s="32"/>
      <c r="G20" s="26"/>
      <c r="H20" s="26"/>
      <c r="I20" s="26"/>
      <c r="J20" s="29" t="s">
        <v>115</v>
      </c>
      <c r="K20" s="29"/>
      <c r="L20" s="29"/>
      <c r="M20" s="50" t="s">
        <v>45</v>
      </c>
      <c r="N20" s="51"/>
    </row>
    <row r="21" ht="18" customHeight="1" spans="1:14">
      <c r="A21" s="19"/>
      <c r="B21" s="20"/>
      <c r="C21" s="30" t="s">
        <v>116</v>
      </c>
      <c r="D21" s="30"/>
      <c r="E21" s="31" t="s">
        <v>45</v>
      </c>
      <c r="F21" s="31"/>
      <c r="G21" s="30"/>
      <c r="H21" s="30"/>
      <c r="I21" s="30"/>
      <c r="J21" s="52" t="s">
        <v>91</v>
      </c>
      <c r="K21" s="52"/>
      <c r="L21" s="52"/>
      <c r="M21" s="53" t="s">
        <v>45</v>
      </c>
      <c r="N21" s="54"/>
    </row>
    <row r="22" ht="18" customHeight="1" spans="1:14">
      <c r="A22" s="19"/>
      <c r="B22" s="20" t="s">
        <v>118</v>
      </c>
      <c r="C22" s="26" t="s">
        <v>110</v>
      </c>
      <c r="D22" s="26"/>
      <c r="E22" s="32" t="s">
        <v>119</v>
      </c>
      <c r="F22" s="32"/>
      <c r="G22" s="26"/>
      <c r="H22" s="26"/>
      <c r="I22" s="26"/>
      <c r="J22" s="29" t="s">
        <v>120</v>
      </c>
      <c r="K22" s="29"/>
      <c r="L22" s="29"/>
      <c r="M22" s="55" t="s">
        <v>121</v>
      </c>
      <c r="N22" s="56"/>
    </row>
    <row r="23" ht="18" customHeight="1" spans="1:14">
      <c r="A23" s="19"/>
      <c r="B23" s="20"/>
      <c r="C23" s="30" t="s">
        <v>116</v>
      </c>
      <c r="D23" s="30"/>
      <c r="E23" s="31" t="e">
        <f>VLOOKUP($C$8,#REF!,13,FALSE)</f>
        <v>#REF!</v>
      </c>
      <c r="F23" s="31"/>
      <c r="G23" s="30"/>
      <c r="H23" s="30"/>
      <c r="I23" s="30"/>
      <c r="J23" s="52" t="s">
        <v>91</v>
      </c>
      <c r="K23" s="52"/>
      <c r="L23" s="52"/>
      <c r="M23" s="53" t="e">
        <f>VLOOKUP($C$8,#REF!,15,FALSE)</f>
        <v>#REF!</v>
      </c>
      <c r="N23" s="54"/>
    </row>
    <row r="24" ht="18" customHeight="1" spans="1:14">
      <c r="A24" s="19"/>
      <c r="B24" s="20" t="s">
        <v>122</v>
      </c>
      <c r="C24" s="26" t="s">
        <v>110</v>
      </c>
      <c r="D24" s="26"/>
      <c r="E24" s="32" t="s">
        <v>45</v>
      </c>
      <c r="F24" s="32"/>
      <c r="G24" s="26"/>
      <c r="H24" s="26"/>
      <c r="I24" s="26"/>
      <c r="J24" s="29" t="s">
        <v>120</v>
      </c>
      <c r="K24" s="29"/>
      <c r="L24" s="29"/>
      <c r="M24" s="50" t="s">
        <v>45</v>
      </c>
      <c r="N24" s="51"/>
    </row>
    <row r="25" ht="18" customHeight="1" spans="1:14">
      <c r="A25" s="19"/>
      <c r="B25" s="20"/>
      <c r="C25" s="30" t="s">
        <v>116</v>
      </c>
      <c r="D25" s="30"/>
      <c r="E25" s="31" t="s">
        <v>45</v>
      </c>
      <c r="F25" s="31"/>
      <c r="G25" s="30"/>
      <c r="H25" s="30"/>
      <c r="I25" s="30"/>
      <c r="J25" s="52" t="s">
        <v>91</v>
      </c>
      <c r="K25" s="52"/>
      <c r="L25" s="52"/>
      <c r="M25" s="53" t="s">
        <v>45</v>
      </c>
      <c r="N25" s="54"/>
    </row>
    <row r="26" ht="18" customHeight="1" spans="1:14">
      <c r="A26" s="19"/>
      <c r="B26" s="20" t="s">
        <v>123</v>
      </c>
      <c r="C26" s="26" t="s">
        <v>124</v>
      </c>
      <c r="D26" s="26"/>
      <c r="E26" s="32" t="s">
        <v>45</v>
      </c>
      <c r="F26" s="32"/>
      <c r="G26" s="26"/>
      <c r="H26" s="26"/>
      <c r="I26" s="26"/>
      <c r="J26" s="29" t="s">
        <v>125</v>
      </c>
      <c r="K26" s="29"/>
      <c r="L26" s="29"/>
      <c r="M26" s="50" t="s">
        <v>45</v>
      </c>
      <c r="N26" s="51"/>
    </row>
    <row r="27" ht="18" customHeight="1" spans="1:14">
      <c r="A27" s="19"/>
      <c r="B27" s="20"/>
      <c r="C27" s="30" t="s">
        <v>116</v>
      </c>
      <c r="D27" s="30"/>
      <c r="E27" s="31" t="s">
        <v>45</v>
      </c>
      <c r="F27" s="31"/>
      <c r="G27" s="30"/>
      <c r="H27" s="30"/>
      <c r="I27" s="30"/>
      <c r="J27" s="52" t="s">
        <v>91</v>
      </c>
      <c r="K27" s="52"/>
      <c r="L27" s="52"/>
      <c r="M27" s="53" t="s">
        <v>45</v>
      </c>
      <c r="N27" s="54"/>
    </row>
    <row r="28" ht="18" customHeight="1" spans="1:14">
      <c r="A28" s="19"/>
      <c r="B28" s="20" t="s">
        <v>126</v>
      </c>
      <c r="C28" s="26" t="s">
        <v>124</v>
      </c>
      <c r="D28" s="26"/>
      <c r="E28" s="32" t="s">
        <v>45</v>
      </c>
      <c r="F28" s="32"/>
      <c r="G28" s="26"/>
      <c r="H28" s="26"/>
      <c r="I28" s="26"/>
      <c r="J28" s="29" t="s">
        <v>125</v>
      </c>
      <c r="K28" s="29"/>
      <c r="L28" s="29"/>
      <c r="M28" s="50" t="s">
        <v>45</v>
      </c>
      <c r="N28" s="51"/>
    </row>
    <row r="29" ht="18" customHeight="1" spans="1:14">
      <c r="A29" s="19"/>
      <c r="B29" s="20"/>
      <c r="C29" s="30" t="s">
        <v>116</v>
      </c>
      <c r="D29" s="30"/>
      <c r="E29" s="31" t="s">
        <v>45</v>
      </c>
      <c r="F29" s="31"/>
      <c r="G29" s="30"/>
      <c r="H29" s="30"/>
      <c r="I29" s="30"/>
      <c r="J29" s="52" t="s">
        <v>91</v>
      </c>
      <c r="K29" s="52"/>
      <c r="L29" s="52"/>
      <c r="M29" s="53" t="s">
        <v>45</v>
      </c>
      <c r="N29" s="54"/>
    </row>
    <row r="30" ht="18" customHeight="1" spans="1:14">
      <c r="A30" s="19"/>
      <c r="B30" s="20" t="s">
        <v>127</v>
      </c>
      <c r="C30" s="26" t="s">
        <v>124</v>
      </c>
      <c r="D30" s="26"/>
      <c r="E30" s="32" t="s">
        <v>45</v>
      </c>
      <c r="F30" s="32"/>
      <c r="G30" s="26"/>
      <c r="H30" s="26"/>
      <c r="I30" s="26"/>
      <c r="J30" s="29" t="s">
        <v>125</v>
      </c>
      <c r="K30" s="29"/>
      <c r="L30" s="29"/>
      <c r="M30" s="50" t="s">
        <v>45</v>
      </c>
      <c r="N30" s="51"/>
    </row>
    <row r="31" ht="18" customHeight="1" spans="1:14">
      <c r="A31" s="19"/>
      <c r="B31" s="20"/>
      <c r="C31" s="33" t="s">
        <v>116</v>
      </c>
      <c r="D31" s="33"/>
      <c r="E31" s="34" t="s">
        <v>45</v>
      </c>
      <c r="F31" s="34"/>
      <c r="G31" s="33"/>
      <c r="H31" s="33"/>
      <c r="I31" s="33"/>
      <c r="J31" s="57" t="s">
        <v>91</v>
      </c>
      <c r="K31" s="57"/>
      <c r="L31" s="57"/>
      <c r="M31" s="58" t="s">
        <v>45</v>
      </c>
      <c r="N31" s="59"/>
    </row>
    <row r="32" s="2" customFormat="1" ht="32" customHeight="1" spans="1:14">
      <c r="A32" s="19" t="s">
        <v>128</v>
      </c>
      <c r="B32" s="19" t="s">
        <v>129</v>
      </c>
      <c r="C32" s="35"/>
      <c r="D32" s="35" t="s">
        <v>53</v>
      </c>
      <c r="E32" s="35" t="s">
        <v>114</v>
      </c>
      <c r="F32" s="35" t="s">
        <v>117</v>
      </c>
      <c r="G32" s="35" t="s">
        <v>118</v>
      </c>
      <c r="H32" s="35" t="s">
        <v>122</v>
      </c>
      <c r="I32" s="35" t="s">
        <v>123</v>
      </c>
      <c r="J32" s="60" t="s">
        <v>130</v>
      </c>
      <c r="K32" s="61"/>
      <c r="L32" s="60" t="s">
        <v>131</v>
      </c>
      <c r="M32" s="61"/>
      <c r="N32" s="35" t="s">
        <v>132</v>
      </c>
    </row>
    <row r="33" ht="25" customHeight="1" spans="1:14">
      <c r="A33" s="19"/>
      <c r="B33" s="20" t="s">
        <v>133</v>
      </c>
      <c r="C33" s="20"/>
      <c r="D33" s="20">
        <v>430</v>
      </c>
      <c r="E33" s="19">
        <v>780</v>
      </c>
      <c r="F33" s="19" t="s">
        <v>134</v>
      </c>
      <c r="G33" s="20">
        <v>930</v>
      </c>
      <c r="H33" s="20" t="s">
        <v>134</v>
      </c>
      <c r="I33" s="20" t="s">
        <v>134</v>
      </c>
      <c r="J33" s="21" t="s">
        <v>134</v>
      </c>
      <c r="K33" s="22"/>
      <c r="L33" s="21" t="s">
        <v>134</v>
      </c>
      <c r="M33" s="22"/>
      <c r="N33" s="20">
        <v>195</v>
      </c>
    </row>
    <row r="34" ht="25" customHeight="1" spans="1:14">
      <c r="A34" s="19"/>
      <c r="B34" s="20" t="s">
        <v>135</v>
      </c>
      <c r="C34" s="20"/>
      <c r="D34" s="36">
        <v>1</v>
      </c>
      <c r="E34" s="19">
        <v>1.81</v>
      </c>
      <c r="F34" s="19" t="s">
        <v>134</v>
      </c>
      <c r="G34" s="20">
        <v>2.29</v>
      </c>
      <c r="H34" s="20" t="s">
        <v>134</v>
      </c>
      <c r="I34" s="20" t="s">
        <v>134</v>
      </c>
      <c r="J34" s="21" t="s">
        <v>134</v>
      </c>
      <c r="K34" s="22"/>
      <c r="L34" s="21" t="s">
        <v>134</v>
      </c>
      <c r="M34" s="22"/>
      <c r="N34" s="20">
        <v>0.45</v>
      </c>
    </row>
    <row r="35" ht="36" customHeight="1" spans="1:14">
      <c r="A35" s="21" t="s">
        <v>11</v>
      </c>
      <c r="B35" s="37"/>
      <c r="C35" s="38" t="s">
        <v>136</v>
      </c>
      <c r="D35" s="39"/>
      <c r="E35" s="39"/>
      <c r="F35" s="39"/>
      <c r="G35" s="39"/>
      <c r="H35" s="39"/>
      <c r="I35" s="39"/>
      <c r="J35" s="39"/>
      <c r="K35" s="39"/>
      <c r="L35" s="39"/>
      <c r="M35" s="39"/>
      <c r="N35" s="62"/>
    </row>
    <row r="36" ht="56" customHeight="1" spans="1:14">
      <c r="A36" s="40" t="s">
        <v>137</v>
      </c>
      <c r="B36" s="40"/>
      <c r="C36" s="40"/>
      <c r="D36" s="40"/>
      <c r="E36" s="40"/>
      <c r="F36" s="40"/>
      <c r="G36" s="40"/>
      <c r="H36" s="40"/>
      <c r="I36" s="40"/>
      <c r="J36" s="40"/>
      <c r="K36" s="40"/>
      <c r="L36" s="40"/>
      <c r="M36" s="40"/>
      <c r="N36" s="40"/>
    </row>
    <row r="37" ht="56" customHeight="1" spans="1:14">
      <c r="A37" s="17" t="s">
        <v>138</v>
      </c>
      <c r="B37" s="17"/>
      <c r="C37" s="40"/>
      <c r="D37" s="40"/>
      <c r="E37" s="41" t="s">
        <v>139</v>
      </c>
      <c r="F37" s="41"/>
      <c r="G37" s="40"/>
      <c r="H37" s="40"/>
      <c r="I37" s="40"/>
      <c r="J37" s="17" t="s">
        <v>140</v>
      </c>
      <c r="K37" s="17"/>
      <c r="L37" s="40"/>
      <c r="M37" s="40"/>
      <c r="N37" s="40"/>
    </row>
    <row r="38" ht="27" customHeight="1" spans="1:14">
      <c r="A38" s="42" t="s">
        <v>141</v>
      </c>
      <c r="B38" s="42"/>
      <c r="C38" s="42"/>
      <c r="D38" s="42"/>
      <c r="E38" s="42"/>
      <c r="F38" s="42"/>
      <c r="G38" s="42"/>
      <c r="H38" s="43"/>
      <c r="I38" s="43"/>
      <c r="J38" s="42" t="s">
        <v>142</v>
      </c>
      <c r="K38" s="42"/>
      <c r="L38" s="42"/>
      <c r="M38" s="42"/>
      <c r="N38" s="42"/>
    </row>
  </sheetData>
  <mergeCells count="129">
    <mergeCell ref="G1:N1"/>
    <mergeCell ref="I2:N2"/>
    <mergeCell ref="I3:N3"/>
    <mergeCell ref="A5:N5"/>
    <mergeCell ref="A6:N6"/>
    <mergeCell ref="A7:B7"/>
    <mergeCell ref="C7:H7"/>
    <mergeCell ref="I7:J7"/>
    <mergeCell ref="K7:N7"/>
    <mergeCell ref="A8:B8"/>
    <mergeCell ref="C8:N8"/>
    <mergeCell ref="A9:B9"/>
    <mergeCell ref="C9:H9"/>
    <mergeCell ref="I9:J9"/>
    <mergeCell ref="K9:N9"/>
    <mergeCell ref="A10:B10"/>
    <mergeCell ref="C10:H10"/>
    <mergeCell ref="I10:J10"/>
    <mergeCell ref="K10:N10"/>
    <mergeCell ref="A11:B11"/>
    <mergeCell ref="C11:H11"/>
    <mergeCell ref="I11:J11"/>
    <mergeCell ref="K11:N11"/>
    <mergeCell ref="A12:B12"/>
    <mergeCell ref="C12:D12"/>
    <mergeCell ref="E12:F12"/>
    <mergeCell ref="G12:H12"/>
    <mergeCell ref="I12:J12"/>
    <mergeCell ref="K12:N12"/>
    <mergeCell ref="A14:B14"/>
    <mergeCell ref="C14:D14"/>
    <mergeCell ref="E14:F14"/>
    <mergeCell ref="G14:H14"/>
    <mergeCell ref="I14:J14"/>
    <mergeCell ref="K14:N14"/>
    <mergeCell ref="C16:D16"/>
    <mergeCell ref="E16:F16"/>
    <mergeCell ref="H16:I16"/>
    <mergeCell ref="J16:L16"/>
    <mergeCell ref="M16:N16"/>
    <mergeCell ref="C17:D17"/>
    <mergeCell ref="E17:I17"/>
    <mergeCell ref="J17:L17"/>
    <mergeCell ref="M17:N17"/>
    <mergeCell ref="C18:D18"/>
    <mergeCell ref="E18:I18"/>
    <mergeCell ref="J18:L18"/>
    <mergeCell ref="M18:N18"/>
    <mergeCell ref="C19:D19"/>
    <mergeCell ref="E19:I19"/>
    <mergeCell ref="J19:L19"/>
    <mergeCell ref="M19:N19"/>
    <mergeCell ref="C20:D20"/>
    <mergeCell ref="E20:I20"/>
    <mergeCell ref="J20:L20"/>
    <mergeCell ref="M20:N20"/>
    <mergeCell ref="C21:D21"/>
    <mergeCell ref="E21:I21"/>
    <mergeCell ref="J21:L21"/>
    <mergeCell ref="M21:N21"/>
    <mergeCell ref="C22:D22"/>
    <mergeCell ref="E22:I22"/>
    <mergeCell ref="J22:L22"/>
    <mergeCell ref="M22:N22"/>
    <mergeCell ref="C23:D23"/>
    <mergeCell ref="E23:I23"/>
    <mergeCell ref="J23:L23"/>
    <mergeCell ref="M23:N23"/>
    <mergeCell ref="C24:D24"/>
    <mergeCell ref="E24:I24"/>
    <mergeCell ref="J24:L24"/>
    <mergeCell ref="M24:N24"/>
    <mergeCell ref="C25:D25"/>
    <mergeCell ref="E25:I25"/>
    <mergeCell ref="J25:L25"/>
    <mergeCell ref="M25:N25"/>
    <mergeCell ref="C26:D26"/>
    <mergeCell ref="E26:I26"/>
    <mergeCell ref="J26:L26"/>
    <mergeCell ref="M26:N26"/>
    <mergeCell ref="C27:D27"/>
    <mergeCell ref="E27:I27"/>
    <mergeCell ref="J27:L27"/>
    <mergeCell ref="M27:N27"/>
    <mergeCell ref="C28:D28"/>
    <mergeCell ref="E28:I28"/>
    <mergeCell ref="J28:L28"/>
    <mergeCell ref="M28:N28"/>
    <mergeCell ref="C29:D29"/>
    <mergeCell ref="E29:I29"/>
    <mergeCell ref="J29:L29"/>
    <mergeCell ref="M29:N29"/>
    <mergeCell ref="C30:D30"/>
    <mergeCell ref="E30:I30"/>
    <mergeCell ref="J30:L30"/>
    <mergeCell ref="M30:N30"/>
    <mergeCell ref="C31:D31"/>
    <mergeCell ref="E31:I31"/>
    <mergeCell ref="J31:L31"/>
    <mergeCell ref="M31:N31"/>
    <mergeCell ref="B32:C32"/>
    <mergeCell ref="J32:K32"/>
    <mergeCell ref="L32:M32"/>
    <mergeCell ref="B33:C33"/>
    <mergeCell ref="J33:K33"/>
    <mergeCell ref="L33:M33"/>
    <mergeCell ref="B34:C34"/>
    <mergeCell ref="J34:K34"/>
    <mergeCell ref="L34:M34"/>
    <mergeCell ref="A35:B35"/>
    <mergeCell ref="C35:N35"/>
    <mergeCell ref="A36:N36"/>
    <mergeCell ref="A37:B37"/>
    <mergeCell ref="E37:F37"/>
    <mergeCell ref="J37:K37"/>
    <mergeCell ref="A38:G38"/>
    <mergeCell ref="J38:N38"/>
    <mergeCell ref="A1:A2"/>
    <mergeCell ref="A16:A31"/>
    <mergeCell ref="A32:A34"/>
    <mergeCell ref="B16:B17"/>
    <mergeCell ref="B18:B19"/>
    <mergeCell ref="B20:B21"/>
    <mergeCell ref="B22:B23"/>
    <mergeCell ref="B24:B25"/>
    <mergeCell ref="B26:B27"/>
    <mergeCell ref="B28:B29"/>
    <mergeCell ref="B30:B31"/>
    <mergeCell ref="B1:D2"/>
  </mergeCells>
  <dataValidations count="1">
    <dataValidation type="list" allowBlank="1" showInputMessage="1" showErrorMessage="1" sqref="C8:N8">
      <formula1>委托单位信息!#REF!</formula1>
    </dataValidation>
  </dataValidations>
  <printOptions horizontalCentered="1"/>
  <pageMargins left="0.590277777777778" right="0.354166666666667" top="0.196527777777778" bottom="0.472222222222222" header="0.0784722222222222" footer="0.196527777777778"/>
  <pageSetup paperSize="9" orientation="portrait" horizontalDpi="600"/>
  <headerFooter/>
  <drawing r:id="rId1"/>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8</vt:i4>
      </vt:variant>
    </vt:vector>
  </HeadingPairs>
  <TitlesOfParts>
    <vt:vector size="8" baseType="lpstr">
      <vt:lpstr>委托单位信息</vt:lpstr>
      <vt:lpstr>混凝土配合比检测</vt:lpstr>
      <vt:lpstr>混凝土配合比 (C15) </vt:lpstr>
      <vt:lpstr>混凝土配合比 (C20) </vt:lpstr>
      <vt:lpstr>混凝土配合比 (C25) </vt:lpstr>
      <vt:lpstr>混凝土配合比 (C30)</vt:lpstr>
      <vt:lpstr>混凝土配合比 (C35)</vt:lpstr>
      <vt:lpstr>混凝土配合比 (C40)</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d25h</cp:lastModifiedBy>
  <dcterms:created xsi:type="dcterms:W3CDTF">2021-06-22T09:08:00Z</dcterms:created>
  <dcterms:modified xsi:type="dcterms:W3CDTF">2021-12-15T07:40:31Z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153A291C00684B8295837A19719BB49A</vt:lpwstr>
  </property>
  <property fmtid="{D5CDD505-2E9C-101B-9397-08002B2CF9AE}" pid="3" name="KSOProductBuildVer">
    <vt:lpwstr>2052-11.1.0.11115</vt:lpwstr>
  </property>
</Properties>
</file>