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95" windowHeight="9375" firstSheet="1" activeTab="1"/>
  </bookViews>
  <sheets>
    <sheet name="委托单位信息" sheetId="3" r:id="rId1"/>
    <sheet name="委托单" sheetId="1" r:id="rId2"/>
    <sheet name="石材抗压强度检测报告" sheetId="2" r:id="rId3"/>
  </sheets>
  <externalReferences>
    <externalReference r:id="rId4"/>
    <externalReference r:id="rId5"/>
    <externalReference r:id="rId6"/>
    <externalReference r:id="rId7"/>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检测类型" localSheetId="2">[4]辅助计算表!$C$2:$U$2</definedName>
    <definedName name="混凝土抗压强度检测" localSheetId="2">[4]辅助计算表!$C$3:$C$180</definedName>
    <definedName name="砂浆抗压强度检测" localSheetId="2">[4]辅助计算表!$D$3:$D$180</definedName>
    <definedName name="混凝土配合比检测" localSheetId="2">[4]辅助计算表!$E$3:$E$180</definedName>
    <definedName name="砂浆配合比检测" localSheetId="2">[4]辅助计算表!$F$3:$F$180</definedName>
    <definedName name="砂料检测" localSheetId="2">[4]辅助计算表!$G$3:$G$180</definedName>
    <definedName name="碎石检测" localSheetId="2">[4]辅助计算表!$H$3:$H$180</definedName>
    <definedName name="水泥检测" localSheetId="2">[4]辅助计算表!$I$3:$I$180</definedName>
    <definedName name="钢筋检测" localSheetId="2">[4]辅助计算表!$J$3:$J$180</definedName>
    <definedName name="钢筋接头检测" localSheetId="2">[4]辅助计算表!$K$3:$K$180</definedName>
    <definedName name="砌体材料检测" localSheetId="2">[4]辅助计算表!$L$3:$L$181</definedName>
    <definedName name="实体检测" localSheetId="2">[4]辅助计算表!$M$3:$M$180</definedName>
    <definedName name="地基基础检测" localSheetId="2">[4]辅助计算表!$N$3:$N$180</definedName>
    <definedName name="路基检测" localSheetId="2">[4]辅助计算表!$O$3:$O$180</definedName>
    <definedName name="建筑节能检测" localSheetId="2">[4]辅助计算表!$P$3:$P$180</definedName>
    <definedName name="管线检测" localSheetId="2">[4]辅助计算表!$Q$3:$Q$180</definedName>
    <definedName name="防水卷材" localSheetId="2">[4]辅助计算表!$R$3:$R$180</definedName>
    <definedName name="混凝土抗渗检测" localSheetId="2">[4]辅助计算表!$S$3:$S$180</definedName>
    <definedName name="项目类别" localSheetId="2">[3]子目!$I$3:$J$3</definedName>
    <definedName name="固定资产" localSheetId="2">[3]子目!$I$4:$I$19</definedName>
    <definedName name="运营支出" localSheetId="2">[3]子目!$J$4:$J$190</definedName>
    <definedName name="网费" localSheetId="2">[3]子目!$K$4:$K$19</definedName>
    <definedName name="差旅费" localSheetId="2">[3]子目!$L$4:$L$19</definedName>
    <definedName name="接待费" localSheetId="2">[3]子目!$M$4:$M$19</definedName>
    <definedName name="人工费" localSheetId="2">[3]子目!$N$4:$N$19</definedName>
    <definedName name="材料费" localSheetId="2">[3]子目!$O$4:$O$19</definedName>
    <definedName name="维护费" localSheetId="2">[3]子目!$P$4:$P$19</definedName>
    <definedName name="_xlnm.Print_Area" localSheetId="2">石材抗压强度检测报告!$A$1:$H$23</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s>
  <calcPr calcId="144525"/>
</workbook>
</file>

<file path=xl/sharedStrings.xml><?xml version="1.0" encoding="utf-8"?>
<sst xmlns="http://schemas.openxmlformats.org/spreadsheetml/2006/main" count="215" uniqueCount="125">
  <si>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</si>
  <si>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</si>
  <si>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</si>
  <si>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</si>
  <si>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</si>
  <si>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</si>
  <si>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</si>
  <si>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</si>
  <si>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</si>
  <si>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</si>
  <si>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</si>
  <si>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</si>
  <si>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</si>
  <si>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</si>
  <si>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</si>
  <si>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</si>
  <si>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</si>
  <si>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</si>
  <si>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</si>
  <si>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</si>
  <si>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</si>
  <si>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</si>
  <si>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</si>
  <si>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</si>
  <si>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</si>
  <si>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</si>
  <si>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</si>
  <si>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</si>
  <si>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</si>
  <si>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</si>
  <si>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</si>
  <si>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</si>
  <si>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</si>
  <si>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</si>
  <si>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</si>
  <si>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</si>
  <si>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</si>
  <si>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 xml:space="preserve">兴文县共乐中心镇创新文旅融合产业园建设项目（EPC) </t>
  </si>
  <si>
    <t>标号</t>
  </si>
  <si>
    <t>破坏荷载</t>
  </si>
  <si>
    <t>四川绿建西宜建设工程有限公司</t>
  </si>
  <si>
    <t>取样类型</t>
  </si>
  <si>
    <t>100×100×100</t>
  </si>
  <si>
    <t>51×102×51</t>
  </si>
  <si>
    <t>兴文僰苗文化旅游有限责任公司</t>
  </si>
  <si>
    <t>受压面积</t>
  </si>
  <si>
    <t>李浪</t>
  </si>
  <si>
    <t>系数</t>
  </si>
  <si>
    <t>抗压强度</t>
  </si>
  <si>
    <t>谢松</t>
  </si>
  <si>
    <t>最小值</t>
  </si>
  <si>
    <t>最大值</t>
  </si>
  <si>
    <t>序号</t>
  </si>
  <si>
    <t>检测项目</t>
  </si>
  <si>
    <t>样品信息</t>
  </si>
  <si>
    <t>送检日期</t>
  </si>
  <si>
    <t>检测日期</t>
  </si>
  <si>
    <t>报告日期</t>
  </si>
  <si>
    <t>面积</t>
  </si>
  <si>
    <t>平均抗压强度值</t>
  </si>
  <si>
    <t>MU10</t>
  </si>
  <si>
    <t>强度等级</t>
  </si>
  <si>
    <t>规格尺寸（mm）</t>
  </si>
  <si>
    <t>生产厂家</t>
  </si>
  <si>
    <t>使用部位</t>
  </si>
  <si>
    <t>代表批量</t>
  </si>
  <si>
    <t>检测数量</t>
  </si>
  <si>
    <t>检测编号</t>
  </si>
  <si>
    <t>MU15</t>
  </si>
  <si>
    <t>石材检测</t>
  </si>
  <si>
    <t>块石</t>
  </si>
  <si>
    <t>MU40</t>
  </si>
  <si>
    <t>兴文县天成建材有限责任公司</t>
  </si>
  <si>
    <t>拖船场公园挡土墙</t>
  </si>
  <si>
    <r>
      <rPr>
        <sz val="11"/>
        <color theme="1"/>
        <rFont val="宋体"/>
        <charset val="134"/>
        <scheme val="minor"/>
      </rPr>
      <t>200m</t>
    </r>
    <r>
      <rPr>
        <vertAlign val="superscript"/>
        <sz val="11"/>
        <color theme="1"/>
        <rFont val="宋体"/>
        <charset val="134"/>
        <scheme val="minor"/>
      </rPr>
      <t>3</t>
    </r>
  </si>
  <si>
    <t>1组</t>
  </si>
  <si>
    <t>150416-2021000001</t>
  </si>
  <si>
    <t>MU20</t>
  </si>
  <si>
    <t>田园社区排水沟、挡土墙</t>
  </si>
  <si>
    <t>150416-2021000002</t>
  </si>
  <si>
    <t>MU60</t>
  </si>
  <si>
    <t>荷塘月色挡土墙</t>
  </si>
  <si>
    <t>150416-2021000003</t>
  </si>
  <si>
    <t>MU50</t>
  </si>
  <si>
    <t>停车场排水沟、挡土墙</t>
  </si>
  <si>
    <t>150416-2021000004</t>
  </si>
  <si>
    <t>MU30</t>
  </si>
  <si>
    <t>农旅广场挡土墙</t>
  </si>
  <si>
    <t>150416-2021000005</t>
  </si>
  <si>
    <t>MU80</t>
  </si>
  <si>
    <t>检测编号：</t>
  </si>
  <si>
    <t>150201-2021000016</t>
  </si>
  <si>
    <t xml:space="preserve">     四川恒固建设工程检测有限公司</t>
  </si>
  <si>
    <t>地址：</t>
  </si>
  <si>
    <t>兴文县古宋镇马栏湾二组中华苑3号楼1层26户室</t>
  </si>
  <si>
    <t>TEL：</t>
  </si>
  <si>
    <t>0831-8833125</t>
  </si>
  <si>
    <t>石材抗压强度检测报告</t>
  </si>
  <si>
    <t>返回委托单</t>
  </si>
  <si>
    <t>有见证取样送检</t>
  </si>
  <si>
    <t>见证人及编号</t>
  </si>
  <si>
    <t>标养编号</t>
  </si>
  <si>
    <t>-</t>
  </si>
  <si>
    <t>田园社区挡土墙垫层</t>
  </si>
  <si>
    <t>成型日期</t>
  </si>
  <si>
    <t>C15</t>
  </si>
  <si>
    <t>养护方式及龄期</t>
  </si>
  <si>
    <t>标准养护 28d</t>
  </si>
  <si>
    <r>
      <rPr>
        <sz val="10.5"/>
        <color theme="1"/>
        <rFont val="宋体"/>
        <charset val="134"/>
      </rPr>
      <t>100m</t>
    </r>
    <r>
      <rPr>
        <vertAlign val="superscript"/>
        <sz val="10.5"/>
        <color theme="1"/>
        <rFont val="宋体"/>
        <charset val="134"/>
      </rPr>
      <t>3</t>
    </r>
  </si>
  <si>
    <t>样品状态描述</t>
  </si>
  <si>
    <t>青灰色；表面平整的立方体；无破损；微量孔洞。</t>
  </si>
  <si>
    <t>检测依据</t>
  </si>
  <si>
    <t>GB/T 50081-2019</t>
  </si>
  <si>
    <t>试件编号</t>
  </si>
  <si>
    <t>试件尺寸（mm)
(长×宽×高）</t>
  </si>
  <si>
    <t>破坏荷载
（kN）</t>
  </si>
  <si>
    <t>抗压强度（MPa)</t>
  </si>
  <si>
    <t>抗压强度值（MPa)</t>
  </si>
  <si>
    <t>100.0×100.0×100.0</t>
  </si>
  <si>
    <t>委托方自行标养。</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</si>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</sst>
</file>

<file path=xl/styles.xml><?xml version="1.0" encoding="utf-8"?>
<styleSheet xmlns="http://schemas.openxmlformats.org/spreadsheetml/2006/main">
  <numFmts count="7">
    <numFmt numFmtId="43" formatCode="_ * #,##0.00_ ;_ * \-#,##0.00_ ;_ * &quot;-&quot;??_ ;_ @_ "/>
    <numFmt numFmtId="176" formatCode="0.0_ "/>
    <numFmt numFmtId="42" formatCode="_ &quot;￥&quot;* #,##0_ ;_ &quot;￥&quot;* \-#,##0_ ;_ &quot;￥&quot;* &quot;-&quot;_ ;_ @_ "/>
    <numFmt numFmtId="41" formatCode="_ * #,##0_ ;_ * \-#,##0_ ;_ * &quot;-&quot;_ ;_ @_ "/>
    <numFmt numFmtId="44" formatCode="_ &quot;￥&quot;* #,##0.00_ ;_ &quot;￥&quot;* \-#,##0.00_ ;_ &quot;￥&quot;* &quot;-&quot;??_ ;_ @_ "/>
    <numFmt numFmtId="177" formatCode="yyyy/mm/dd"/>
    <numFmt numFmtId="178" formatCode="yyyy/m/d;@"/>
  </numFmts>
  <fonts count="31">
    <font>
      <sz val="11"/>
      <color theme="1"/>
      <name val="宋体"/>
      <charset val="134"/>
      <scheme val="minor"/>
    </font>
    <font>
      <sz val="9"/>
      <color theme="1"/>
      <name val="宋体"/>
      <charset val="134"/>
      <scheme val="minor"/>
    </font>
    <font>
      <sz val="8"/>
      <color theme="1"/>
      <name val="宋体"/>
      <charset val="134"/>
      <scheme val="minor"/>
    </font>
    <font>
      <b/>
      <sz val="20"/>
      <color theme="1"/>
      <name val="宋体"/>
      <charset val="134"/>
    </font>
    <font>
      <sz val="10.5"/>
      <color theme="1"/>
      <name val="宋体"/>
      <charset val="134"/>
    </font>
    <font>
      <sz val="9"/>
      <color theme="1"/>
      <name val="宋体"/>
      <charset val="134"/>
    </font>
    <font>
      <sz val="10"/>
      <color theme="1"/>
      <name val="宋体"/>
      <charset val="134"/>
      <scheme val="minor"/>
    </font>
    <font>
      <u/>
      <sz val="11"/>
      <color rgb="FF0000FF"/>
      <name val="宋体"/>
      <charset val="0"/>
      <scheme val="minor"/>
    </font>
    <font>
      <b/>
      <sz val="14"/>
      <color theme="1"/>
      <name val="宋体"/>
      <charset val="134"/>
      <scheme val="minor"/>
    </font>
    <font>
      <b/>
      <sz val="11"/>
      <color theme="1"/>
      <name val="宋体"/>
      <charset val="134"/>
      <scheme val="minor"/>
    </font>
    <font>
      <sz val="12"/>
      <color theme="1"/>
      <name val="宋体"/>
      <charset val="134"/>
    </font>
    <font>
      <sz val="11"/>
      <color theme="1"/>
      <name val="宋体"/>
      <charset val="0"/>
      <scheme val="minor"/>
    </font>
    <font>
      <sz val="11"/>
      <color rgb="FF9C0006"/>
      <name val="宋体"/>
      <charset val="0"/>
      <scheme val="minor"/>
    </font>
    <font>
      <b/>
      <sz val="15"/>
      <color theme="3"/>
      <name val="宋体"/>
      <charset val="134"/>
      <scheme val="minor"/>
    </font>
    <font>
      <sz val="11"/>
      <color theme="0"/>
      <name val="宋体"/>
      <charset val="0"/>
      <scheme val="minor"/>
    </font>
    <font>
      <b/>
      <sz val="11"/>
      <color theme="3"/>
      <name val="宋体"/>
      <charset val="134"/>
      <scheme val="minor"/>
    </font>
    <font>
      <sz val="11"/>
      <color rgb="FF3F3F76"/>
      <name val="宋体"/>
      <charset val="0"/>
      <scheme val="minor"/>
    </font>
    <font>
      <b/>
      <sz val="13"/>
      <color theme="3"/>
      <name val="宋体"/>
      <charset val="134"/>
      <scheme val="minor"/>
    </font>
    <font>
      <i/>
      <sz val="11"/>
      <color rgb="FF7F7F7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vertAlign val="superscript"/>
      <sz val="10.5"/>
      <color theme="1"/>
      <name val="宋体"/>
      <charset val="134"/>
    </font>
    <font>
      <vertAlign val="superscript"/>
      <sz val="11"/>
      <color theme="1"/>
      <name val="宋体"/>
      <charset val="134"/>
      <scheme val="minor"/>
    </font>
  </fonts>
  <fills count="34">
    <fill>
      <patternFill patternType="none"/>
    </fill>
    <fill>
      <patternFill patternType="gray125"/>
    </fill>
    <fill>
      <patternFill patternType="solid">
        <fgColor rgb="FF92D050"/>
        <bgColor indexed="64"/>
      </patternFill>
    </fill>
    <fill>
      <patternFill patternType="solid">
        <fgColor theme="4" tint="0.799981688894314"/>
        <bgColor indexed="64"/>
      </patternFill>
    </fill>
    <fill>
      <patternFill patternType="solid">
        <fgColor rgb="FFFFC7CE"/>
        <bgColor indexed="64"/>
      </patternFill>
    </fill>
    <fill>
      <patternFill patternType="solid">
        <fgColor theme="7" tint="0.599993896298105"/>
        <bgColor indexed="64"/>
      </patternFill>
    </fill>
    <fill>
      <patternFill patternType="solid">
        <fgColor theme="6" tint="0.799981688894314"/>
        <bgColor indexed="64"/>
      </patternFill>
    </fill>
    <fill>
      <patternFill patternType="solid">
        <fgColor theme="6"/>
        <bgColor indexed="64"/>
      </patternFill>
    </fill>
    <fill>
      <patternFill patternType="solid">
        <fgColor theme="5" tint="0.599993896298105"/>
        <bgColor indexed="64"/>
      </patternFill>
    </fill>
    <fill>
      <patternFill patternType="solid">
        <fgColor rgb="FFFFCC99"/>
        <bgColor indexed="64"/>
      </patternFill>
    </fill>
    <fill>
      <patternFill patternType="solid">
        <fgColor rgb="FFFFFFCC"/>
        <bgColor indexed="64"/>
      </patternFill>
    </fill>
    <fill>
      <patternFill patternType="solid">
        <fgColor theme="6" tint="0.599993896298105"/>
        <bgColor indexed="64"/>
      </patternFill>
    </fill>
    <fill>
      <patternFill patternType="solid">
        <fgColor theme="9"/>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rgb="FFF2F2F2"/>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A5A5A5"/>
        <bgColor indexed="64"/>
      </patternFill>
    </fill>
    <fill>
      <patternFill patternType="solid">
        <fgColor theme="9" tint="0.799981688894314"/>
        <bgColor indexed="64"/>
      </patternFill>
    </fill>
    <fill>
      <patternFill patternType="solid">
        <fgColor theme="7"/>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1" fillId="6" borderId="0" applyNumberFormat="0" applyBorder="0" applyAlignment="0" applyProtection="0">
      <alignment vertical="center"/>
    </xf>
    <xf numFmtId="0" fontId="16" fillId="9" borderId="1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11" borderId="0" applyNumberFormat="0" applyBorder="0" applyAlignment="0" applyProtection="0">
      <alignment vertical="center"/>
    </xf>
    <xf numFmtId="0" fontId="12" fillId="4" borderId="0" applyNumberFormat="0" applyBorder="0" applyAlignment="0" applyProtection="0">
      <alignment vertical="center"/>
    </xf>
    <xf numFmtId="43" fontId="0" fillId="0" borderId="0" applyFont="0" applyFill="0" applyBorder="0" applyAlignment="0" applyProtection="0">
      <alignment vertical="center"/>
    </xf>
    <xf numFmtId="0" fontId="14" fillId="14" borderId="0" applyNumberFormat="0" applyBorder="0" applyAlignment="0" applyProtection="0">
      <alignment vertical="center"/>
    </xf>
    <xf numFmtId="0" fontId="7" fillId="0" borderId="0" applyNumberFormat="0" applyFill="0" applyBorder="0" applyAlignment="0" applyProtection="0">
      <alignment vertical="center"/>
    </xf>
    <xf numFmtId="9" fontId="0" fillId="0" borderId="0" applyFont="0" applyFill="0" applyBorder="0" applyAlignment="0" applyProtection="0">
      <alignment vertical="center"/>
    </xf>
    <xf numFmtId="0" fontId="19" fillId="0" borderId="0" applyNumberFormat="0" applyFill="0" applyBorder="0" applyAlignment="0" applyProtection="0">
      <alignment vertical="center"/>
    </xf>
    <xf numFmtId="0" fontId="0" fillId="10" borderId="15" applyNumberFormat="0" applyFont="0" applyAlignment="0" applyProtection="0">
      <alignment vertical="center"/>
    </xf>
    <xf numFmtId="0" fontId="14" fillId="13" borderId="0" applyNumberFormat="0" applyBorder="0" applyAlignment="0" applyProtection="0">
      <alignment vertical="center"/>
    </xf>
    <xf numFmtId="0" fontId="15"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3" fillId="0" borderId="12" applyNumberFormat="0" applyFill="0" applyAlignment="0" applyProtection="0">
      <alignment vertical="center"/>
    </xf>
    <xf numFmtId="0" fontId="17" fillId="0" borderId="12" applyNumberFormat="0" applyFill="0" applyAlignment="0" applyProtection="0">
      <alignment vertical="center"/>
    </xf>
    <xf numFmtId="0" fontId="14" fillId="18" borderId="0" applyNumberFormat="0" applyBorder="0" applyAlignment="0" applyProtection="0">
      <alignment vertical="center"/>
    </xf>
    <xf numFmtId="0" fontId="15" fillId="0" borderId="13" applyNumberFormat="0" applyFill="0" applyAlignment="0" applyProtection="0">
      <alignment vertical="center"/>
    </xf>
    <xf numFmtId="0" fontId="14" fillId="19" borderId="0" applyNumberFormat="0" applyBorder="0" applyAlignment="0" applyProtection="0">
      <alignment vertical="center"/>
    </xf>
    <xf numFmtId="0" fontId="22" fillId="17" borderId="16" applyNumberFormat="0" applyAlignment="0" applyProtection="0">
      <alignment vertical="center"/>
    </xf>
    <xf numFmtId="0" fontId="23" fillId="17" borderId="14" applyNumberFormat="0" applyAlignment="0" applyProtection="0">
      <alignment vertical="center"/>
    </xf>
    <xf numFmtId="0" fontId="24" fillId="20" borderId="17" applyNumberFormat="0" applyAlignment="0" applyProtection="0">
      <alignment vertical="center"/>
    </xf>
    <xf numFmtId="0" fontId="11" fillId="21" borderId="0" applyNumberFormat="0" applyBorder="0" applyAlignment="0" applyProtection="0">
      <alignment vertical="center"/>
    </xf>
    <xf numFmtId="0" fontId="14" fillId="23" borderId="0" applyNumberFormat="0" applyBorder="0" applyAlignment="0" applyProtection="0">
      <alignment vertical="center"/>
    </xf>
    <xf numFmtId="0" fontId="25" fillId="0" borderId="18" applyNumberFormat="0" applyFill="0" applyAlignment="0" applyProtection="0">
      <alignment vertical="center"/>
    </xf>
    <xf numFmtId="0" fontId="26" fillId="0" borderId="19" applyNumberFormat="0" applyFill="0" applyAlignment="0" applyProtection="0">
      <alignment vertical="center"/>
    </xf>
    <xf numFmtId="0" fontId="27" fillId="24" borderId="0" applyNumberFormat="0" applyBorder="0" applyAlignment="0" applyProtection="0">
      <alignment vertical="center"/>
    </xf>
    <xf numFmtId="0" fontId="28" fillId="25" borderId="0" applyNumberFormat="0" applyBorder="0" applyAlignment="0" applyProtection="0">
      <alignment vertical="center"/>
    </xf>
    <xf numFmtId="0" fontId="11" fillId="26" borderId="0" applyNumberFormat="0" applyBorder="0" applyAlignment="0" applyProtection="0">
      <alignment vertical="center"/>
    </xf>
    <xf numFmtId="0" fontId="14" fillId="27" borderId="0" applyNumberFormat="0" applyBorder="0" applyAlignment="0" applyProtection="0">
      <alignment vertical="center"/>
    </xf>
    <xf numFmtId="0" fontId="11" fillId="3" borderId="0" applyNumberFormat="0" applyBorder="0" applyAlignment="0" applyProtection="0">
      <alignment vertical="center"/>
    </xf>
    <xf numFmtId="0" fontId="11" fillId="28" borderId="0" applyNumberFormat="0" applyBorder="0" applyAlignment="0" applyProtection="0">
      <alignment vertical="center"/>
    </xf>
    <xf numFmtId="0" fontId="11" fillId="16" borderId="0" applyNumberFormat="0" applyBorder="0" applyAlignment="0" applyProtection="0">
      <alignment vertical="center"/>
    </xf>
    <xf numFmtId="0" fontId="11" fillId="8" borderId="0" applyNumberFormat="0" applyBorder="0" applyAlignment="0" applyProtection="0">
      <alignment vertical="center"/>
    </xf>
    <xf numFmtId="0" fontId="14" fillId="7" borderId="0" applyNumberFormat="0" applyBorder="0" applyAlignment="0" applyProtection="0">
      <alignment vertical="center"/>
    </xf>
    <xf numFmtId="0" fontId="14" fillId="22" borderId="0" applyNumberFormat="0" applyBorder="0" applyAlignment="0" applyProtection="0">
      <alignment vertical="center"/>
    </xf>
    <xf numFmtId="0" fontId="11" fillId="15" borderId="0" applyNumberFormat="0" applyBorder="0" applyAlignment="0" applyProtection="0">
      <alignment vertical="center"/>
    </xf>
    <xf numFmtId="0" fontId="11" fillId="5"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12"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65">
    <xf numFmtId="0" fontId="0" fillId="0" borderId="0" xfId="0">
      <alignment vertical="center"/>
    </xf>
    <xf numFmtId="0" fontId="0" fillId="0" borderId="0" xfId="0" applyFill="1" applyAlignment="1">
      <alignment horizontal="center" vertical="center"/>
    </xf>
    <xf numFmtId="0" fontId="0" fillId="0" borderId="0" xfId="0" applyFill="1" applyAlignment="1">
      <alignment vertical="center"/>
    </xf>
    <xf numFmtId="0" fontId="0" fillId="0" borderId="1" xfId="0" applyFill="1" applyBorder="1" applyAlignment="1">
      <alignment horizontal="right" vertical="center" wrapText="1"/>
    </xf>
    <xf numFmtId="0" fontId="0" fillId="0" borderId="2" xfId="0" applyFill="1" applyBorder="1" applyAlignment="1">
      <alignment horizontal="center" vertical="center" wrapText="1"/>
    </xf>
    <xf numFmtId="0" fontId="0" fillId="0" borderId="3" xfId="0" applyFill="1" applyBorder="1" applyAlignment="1">
      <alignment horizontal="center" vertical="center" wrapText="1"/>
    </xf>
    <xf numFmtId="0" fontId="0" fillId="0" borderId="0" xfId="0" applyFill="1" applyBorder="1" applyAlignment="1">
      <alignment vertical="center" wrapText="1"/>
    </xf>
    <xf numFmtId="0" fontId="1" fillId="0" borderId="0" xfId="0" applyFont="1" applyFill="1" applyAlignment="1">
      <alignment horizontal="left" vertical="center"/>
    </xf>
    <xf numFmtId="0" fontId="0" fillId="0" borderId="0" xfId="0" applyFill="1" applyAlignment="1">
      <alignment horizontal="center" vertical="center" wrapText="1"/>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4" xfId="0" applyFill="1" applyBorder="1" applyAlignment="1">
      <alignment horizontal="center" vertical="center" wrapText="1"/>
    </xf>
    <xf numFmtId="0" fontId="0" fillId="0" borderId="4" xfId="0" applyFill="1" applyBorder="1" applyAlignment="1">
      <alignment horizontal="center" vertical="center"/>
    </xf>
    <xf numFmtId="0" fontId="1" fillId="0" borderId="4" xfId="0" applyFont="1" applyFill="1" applyBorder="1" applyAlignment="1">
      <alignment horizontal="right" vertical="center"/>
    </xf>
    <xf numFmtId="0" fontId="1" fillId="0" borderId="4"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center"/>
    </xf>
    <xf numFmtId="0" fontId="4" fillId="0" borderId="5" xfId="0" applyFont="1" applyFill="1" applyBorder="1" applyAlignment="1">
      <alignment horizontal="center" vertical="center" wrapText="1"/>
    </xf>
    <xf numFmtId="0" fontId="4" fillId="0" borderId="5" xfId="0" applyFont="1" applyFill="1" applyBorder="1" applyAlignment="1">
      <alignment horizontal="left" vertical="center" wrapText="1"/>
    </xf>
    <xf numFmtId="177" fontId="4" fillId="0" borderId="5" xfId="0" applyNumberFormat="1" applyFont="1" applyFill="1" applyBorder="1" applyAlignment="1">
      <alignment horizontal="center" vertical="center" wrapText="1"/>
    </xf>
    <xf numFmtId="176" fontId="4" fillId="0" borderId="5" xfId="0" applyNumberFormat="1" applyFont="1" applyFill="1" applyBorder="1" applyAlignment="1">
      <alignment horizontal="center" vertical="center" wrapText="1"/>
    </xf>
    <xf numFmtId="176" fontId="4" fillId="0" borderId="6" xfId="0" applyNumberFormat="1" applyFont="1" applyFill="1" applyBorder="1" applyAlignment="1">
      <alignment horizontal="center" vertical="center" wrapText="1"/>
    </xf>
    <xf numFmtId="176" fontId="4" fillId="0" borderId="7" xfId="0" applyNumberFormat="1" applyFont="1" applyFill="1" applyBorder="1" applyAlignment="1">
      <alignment horizontal="center" vertical="center" wrapText="1"/>
    </xf>
    <xf numFmtId="176" fontId="4" fillId="0" borderId="8" xfId="0" applyNumberFormat="1" applyFont="1" applyFill="1" applyBorder="1" applyAlignment="1">
      <alignment horizontal="center" vertical="center" wrapText="1"/>
    </xf>
    <xf numFmtId="176" fontId="4" fillId="0" borderId="9" xfId="0" applyNumberFormat="1" applyFont="1" applyFill="1" applyBorder="1" applyAlignment="1">
      <alignment horizontal="center" vertical="center" wrapText="1"/>
    </xf>
    <xf numFmtId="176" fontId="4" fillId="0" borderId="10" xfId="0" applyNumberFormat="1" applyFont="1" applyFill="1" applyBorder="1" applyAlignment="1">
      <alignment horizontal="center" vertical="center" wrapText="1"/>
    </xf>
    <xf numFmtId="176" fontId="4" fillId="0" borderId="11" xfId="0" applyNumberFormat="1" applyFont="1" applyFill="1" applyBorder="1" applyAlignment="1">
      <alignment horizontal="center" vertical="center" wrapText="1"/>
    </xf>
    <xf numFmtId="0" fontId="5" fillId="0" borderId="5" xfId="0" applyFont="1" applyFill="1" applyBorder="1" applyAlignment="1">
      <alignment horizontal="center" vertical="center" wrapText="1"/>
    </xf>
    <xf numFmtId="0" fontId="5" fillId="0" borderId="1" xfId="0" applyFont="1" applyFill="1" applyBorder="1" applyAlignment="1">
      <alignment horizontal="left" vertical="center" wrapText="1"/>
    </xf>
    <xf numFmtId="0" fontId="5" fillId="0" borderId="2" xfId="0" applyFont="1" applyFill="1" applyBorder="1" applyAlignment="1">
      <alignment horizontal="left" vertical="center" wrapText="1"/>
    </xf>
    <xf numFmtId="0" fontId="5" fillId="0" borderId="3" xfId="0" applyFont="1" applyFill="1" applyBorder="1" applyAlignment="1">
      <alignment horizontal="left" vertical="center" wrapText="1"/>
    </xf>
    <xf numFmtId="0" fontId="5" fillId="0" borderId="0" xfId="0" applyFont="1" applyFill="1" applyAlignment="1">
      <alignment horizontal="center" vertical="center" wrapText="1"/>
    </xf>
    <xf numFmtId="0" fontId="5" fillId="0" borderId="0" xfId="0" applyFont="1" applyFill="1" applyAlignment="1">
      <alignment horizontal="left" vertical="center"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horizontal="center" vertical="center" wrapText="1"/>
    </xf>
    <xf numFmtId="0" fontId="6" fillId="0" borderId="0" xfId="0" applyFont="1" applyFill="1" applyAlignment="1">
      <alignment vertical="center" wrapText="1"/>
    </xf>
    <xf numFmtId="0" fontId="7" fillId="0" borderId="0" xfId="10" applyFill="1" applyAlignment="1">
      <alignment vertical="center"/>
    </xf>
    <xf numFmtId="49" fontId="0" fillId="0" borderId="0" xfId="0" applyNumberFormat="1" applyFill="1" applyAlignment="1">
      <alignment horizontal="center" vertical="center"/>
    </xf>
    <xf numFmtId="177" fontId="4" fillId="0" borderId="0" xfId="0" applyNumberFormat="1" applyFont="1" applyFill="1" applyBorder="1" applyAlignment="1">
      <alignment vertical="center" wrapText="1"/>
    </xf>
    <xf numFmtId="178" fontId="0" fillId="0" borderId="0" xfId="0" applyNumberForma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0" fontId="8" fillId="0" borderId="0" xfId="0" applyFont="1" applyAlignment="1">
      <alignment horizontal="center" vertical="center"/>
    </xf>
    <xf numFmtId="0" fontId="8" fillId="2" borderId="0" xfId="0" applyFont="1" applyFill="1" applyAlignment="1">
      <alignment horizontal="center" vertical="center"/>
    </xf>
    <xf numFmtId="0" fontId="0" fillId="0" borderId="0" xfId="0" applyBorder="1" applyAlignment="1">
      <alignment horizontal="center" vertical="center"/>
    </xf>
    <xf numFmtId="0" fontId="4" fillId="0" borderId="0" xfId="0" applyFont="1" applyFill="1" applyBorder="1" applyAlignment="1">
      <alignment horizontal="center" vertical="center" wrapText="1"/>
    </xf>
    <xf numFmtId="0" fontId="0" fillId="0" borderId="0" xfId="0" applyFill="1" applyBorder="1" applyAlignment="1">
      <alignment horizontal="center" vertical="center"/>
    </xf>
    <xf numFmtId="0" fontId="4" fillId="2" borderId="0" xfId="0" applyFont="1" applyFill="1" applyBorder="1" applyAlignment="1">
      <alignment horizontal="center" vertical="center" wrapText="1"/>
    </xf>
    <xf numFmtId="0" fontId="0" fillId="0" borderId="0" xfId="0" applyFont="1" applyBorder="1" applyAlignment="1">
      <alignment horizontal="center" vertical="center"/>
    </xf>
    <xf numFmtId="0" fontId="0" fillId="2" borderId="0" xfId="0" applyFill="1" applyBorder="1" applyAlignment="1">
      <alignment horizontal="center" vertical="center"/>
    </xf>
    <xf numFmtId="0" fontId="4" fillId="2" borderId="0" xfId="0" applyFont="1" applyFill="1" applyBorder="1" applyAlignment="1">
      <alignment horizontal="center" vertical="center"/>
    </xf>
    <xf numFmtId="0" fontId="4" fillId="0" borderId="0" xfId="0" applyFont="1" applyBorder="1" applyAlignment="1">
      <alignment horizontal="center" vertical="center"/>
    </xf>
    <xf numFmtId="177" fontId="0" fillId="2" borderId="0" xfId="0" applyNumberFormat="1" applyFill="1" applyAlignment="1">
      <alignment horizontal="center" vertical="center"/>
    </xf>
    <xf numFmtId="176" fontId="0" fillId="0" borderId="0" xfId="0" applyNumberFormat="1" applyAlignment="1">
      <alignment horizontal="center" vertical="center"/>
    </xf>
    <xf numFmtId="0" fontId="4" fillId="0" borderId="0" xfId="0" applyFont="1" applyBorder="1" applyAlignment="1">
      <alignment horizontal="center" vertical="center" wrapText="1"/>
    </xf>
    <xf numFmtId="0" fontId="0" fillId="0" borderId="0" xfId="0" applyFont="1" applyAlignment="1">
      <alignment horizontal="center" vertical="center"/>
    </xf>
    <xf numFmtId="0" fontId="0" fillId="0" borderId="0" xfId="0" applyFont="1" applyFill="1" applyAlignment="1">
      <alignment horizontal="center" vertical="center"/>
    </xf>
    <xf numFmtId="0" fontId="0" fillId="0" borderId="0" xfId="0" applyAlignment="1">
      <alignment horizontal="center" vertical="center" wrapText="1"/>
    </xf>
    <xf numFmtId="0" fontId="0" fillId="0" borderId="0" xfId="0"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center" vertical="center"/>
    </xf>
    <xf numFmtId="0" fontId="0" fillId="0" borderId="0" xfId="0" applyFont="1" applyAlignment="1">
      <alignment horizontal="center" vertical="center" wrapText="1"/>
    </xf>
    <xf numFmtId="0" fontId="4"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4.xml"/><Relationship Id="rId6" Type="http://schemas.openxmlformats.org/officeDocument/2006/relationships/externalLink" Target="externalLinks/externalLink3.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14</xdr:col>
          <xdr:colOff>238125</xdr:colOff>
          <xdr:row>4</xdr:row>
          <xdr:rowOff>57150</xdr:rowOff>
        </xdr:from>
        <xdr:to>
          <xdr:col>16</xdr:col>
          <xdr:colOff>571500</xdr:colOff>
          <xdr:row>5</xdr:row>
          <xdr:rowOff>152400</xdr:rowOff>
        </xdr:to>
        <xdr:sp>
          <xdr:nvSpPr>
            <xdr:cNvPr id="2049" name="CommandButton1" hidden="1">
              <a:extLst>
                <a:ext uri="{63B3BB69-23CF-44E3-9099-C40C66FF867C}">
                  <a14:compatExt spid="_x0000_s2049"/>
                </a:ext>
              </a:extLst>
            </xdr:cNvPr>
            <xdr:cNvSpPr/>
          </xdr:nvSpPr>
          <xdr:spPr>
            <a:xfrm>
              <a:off x="14449425" y="1352550"/>
              <a:ext cx="1704975" cy="4127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2</xdr:row>
          <xdr:rowOff>161925</xdr:rowOff>
        </xdr:from>
        <xdr:to>
          <xdr:col>11</xdr:col>
          <xdr:colOff>1104900</xdr:colOff>
          <xdr:row>3</xdr:row>
          <xdr:rowOff>285750</xdr:rowOff>
        </xdr:to>
        <xdr:sp>
          <xdr:nvSpPr>
            <xdr:cNvPr id="2050" name="CommandButton2" hidden="1">
              <a:extLst>
                <a:ext uri="{63B3BB69-23CF-44E3-9099-C40C66FF867C}">
                  <a14:compatExt spid="_x0000_s2050"/>
                </a:ext>
              </a:extLst>
            </xdr:cNvPr>
            <xdr:cNvSpPr/>
          </xdr:nvSpPr>
          <xdr:spPr>
            <a:xfrm>
              <a:off x="11049000" y="822325"/>
              <a:ext cx="1533525" cy="4413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438150</xdr:colOff>
          <xdr:row>3</xdr:row>
          <xdr:rowOff>314325</xdr:rowOff>
        </xdr:from>
        <xdr:to>
          <xdr:col>11</xdr:col>
          <xdr:colOff>1095375</xdr:colOff>
          <xdr:row>5</xdr:row>
          <xdr:rowOff>120650</xdr:rowOff>
        </xdr:to>
        <xdr:sp>
          <xdr:nvSpPr>
            <xdr:cNvPr id="2051" name="CommandButton3" hidden="1">
              <a:extLst>
                <a:ext uri="{63B3BB69-23CF-44E3-9099-C40C66FF867C}">
                  <a14:compatExt spid="_x0000_s2051"/>
                </a:ext>
              </a:extLst>
            </xdr:cNvPr>
            <xdr:cNvSpPr/>
          </xdr:nvSpPr>
          <xdr:spPr>
            <a:xfrm>
              <a:off x="11039475" y="1292225"/>
              <a:ext cx="1533525" cy="4413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6</xdr:col>
      <xdr:colOff>543560</xdr:colOff>
      <xdr:row>22</xdr:row>
      <xdr:rowOff>0</xdr:rowOff>
    </xdr:from>
    <xdr:to>
      <xdr:col>7</xdr:col>
      <xdr:colOff>548640</xdr:colOff>
      <xdr:row>22</xdr:row>
      <xdr:rowOff>492125</xdr:rowOff>
    </xdr:to>
    <xdr:pic>
      <xdr:nvPicPr>
        <xdr:cNvPr id="2" name="图片 1" descr="曹雪"/>
        <xdr:cNvPicPr>
          <a:picLocks noChangeAspect="1"/>
        </xdr:cNvPicPr>
      </xdr:nvPicPr>
      <xdr:blipFill>
        <a:blip r:embed="rId1"/>
        <a:stretch>
          <a:fillRect/>
        </a:stretch>
      </xdr:blipFill>
      <xdr:spPr>
        <a:xfrm>
          <a:off x="5081905" y="8985250"/>
          <a:ext cx="776605" cy="492125"/>
        </a:xfrm>
        <a:prstGeom prst="rect">
          <a:avLst/>
        </a:prstGeom>
      </xdr:spPr>
    </xdr:pic>
    <xdr:clientData/>
  </xdr:twoCellAnchor>
  <xdr:twoCellAnchor editAs="oneCell">
    <xdr:from>
      <xdr:col>1</xdr:col>
      <xdr:colOff>85725</xdr:colOff>
      <xdr:row>22</xdr:row>
      <xdr:rowOff>30480</xdr:rowOff>
    </xdr:from>
    <xdr:to>
      <xdr:col>2</xdr:col>
      <xdr:colOff>97155</xdr:colOff>
      <xdr:row>22</xdr:row>
      <xdr:rowOff>459740</xdr:rowOff>
    </xdr:to>
    <xdr:pic>
      <xdr:nvPicPr>
        <xdr:cNvPr id="3" name="图片 2" descr="熊茂"/>
        <xdr:cNvPicPr>
          <a:picLocks noChangeAspect="1"/>
        </xdr:cNvPicPr>
      </xdr:nvPicPr>
      <xdr:blipFill>
        <a:blip r:embed="rId2"/>
        <a:stretch>
          <a:fillRect/>
        </a:stretch>
      </xdr:blipFill>
      <xdr:spPr>
        <a:xfrm>
          <a:off x="1200150" y="9015730"/>
          <a:ext cx="697230" cy="429260"/>
        </a:xfrm>
        <a:prstGeom prst="rect">
          <a:avLst/>
        </a:prstGeom>
      </xdr:spPr>
    </xdr:pic>
    <xdr:clientData/>
  </xdr:twoCellAnchor>
  <xdr:twoCellAnchor editAs="oneCell">
    <xdr:from>
      <xdr:col>3</xdr:col>
      <xdr:colOff>642620</xdr:colOff>
      <xdr:row>22</xdr:row>
      <xdr:rowOff>0</xdr:rowOff>
    </xdr:from>
    <xdr:to>
      <xdr:col>5</xdr:col>
      <xdr:colOff>128905</xdr:colOff>
      <xdr:row>22</xdr:row>
      <xdr:rowOff>490220</xdr:rowOff>
    </xdr:to>
    <xdr:pic>
      <xdr:nvPicPr>
        <xdr:cNvPr id="4" name="图片 3" descr="邓志华"/>
        <xdr:cNvPicPr>
          <a:picLocks noChangeAspect="1"/>
        </xdr:cNvPicPr>
      </xdr:nvPicPr>
      <xdr:blipFill>
        <a:blip r:embed="rId3"/>
        <a:stretch>
          <a:fillRect/>
        </a:stretch>
      </xdr:blipFill>
      <xdr:spPr>
        <a:xfrm>
          <a:off x="3128645" y="8985250"/>
          <a:ext cx="852805" cy="49022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1000"/>
  <sheetViews>
    <sheetView workbookViewId="0">
      <selection activeCell="A3" sqref="A3:K9"/>
    </sheetView>
  </sheetViews>
  <sheetFormatPr defaultColWidth="9" defaultRowHeight="13.5"/>
  <cols>
    <col min="1" max="1" width="9" style="58"/>
    <col min="2" max="2" width="57.25" style="58" customWidth="1"/>
    <col min="3" max="3" width="21.5" style="58" customWidth="1"/>
    <col min="4" max="4" width="17.125" style="58" customWidth="1"/>
    <col min="5" max="5" width="27.375" style="58" customWidth="1"/>
    <col min="6" max="6" width="9" style="58"/>
    <col min="7" max="7" width="12.625" style="58"/>
    <col min="8" max="8" width="9" style="58"/>
    <col min="9" max="9" width="12.625" style="58"/>
    <col min="10" max="10" width="15.25" style="58" customWidth="1"/>
    <col min="11" max="16384" width="9" style="58"/>
  </cols>
  <sheetData>
    <row r="1" ht="30" customHeight="1" spans="1:11">
      <c r="A1" s="60" t="s">
        <v>0</v>
      </c>
      <c r="B1" s="60"/>
      <c r="C1" s="60"/>
      <c r="D1" s="60"/>
      <c r="E1" s="60"/>
      <c r="F1" s="60"/>
      <c r="G1" s="60"/>
      <c r="H1" s="60"/>
      <c r="I1" s="60"/>
      <c r="J1" s="60"/>
      <c r="K1" s="60"/>
    </row>
    <row r="2" s="60" customFormat="1" ht="25" customHeight="1" spans="1:11">
      <c r="A2" s="60" t="s">
        <v>1</v>
      </c>
      <c r="B2" s="60" t="s">
        <v>2</v>
      </c>
      <c r="C2" s="60" t="s">
        <v>3</v>
      </c>
      <c r="D2" s="60" t="s">
        <v>4</v>
      </c>
      <c r="E2" s="60" t="s">
        <v>5</v>
      </c>
      <c r="F2" s="60" t="s">
        <v>6</v>
      </c>
      <c r="G2" s="60" t="s">
        <v>7</v>
      </c>
      <c r="H2" s="60" t="s">
        <v>8</v>
      </c>
      <c r="I2" s="60" t="s">
        <v>9</v>
      </c>
      <c r="J2" s="60" t="s">
        <v>10</v>
      </c>
      <c r="K2" s="60" t="s">
        <v>11</v>
      </c>
    </row>
    <row r="3" ht="25" customHeight="1" spans="1:10">
      <c r="A3" s="58" t="s">
        <v>12</v>
      </c>
      <c r="B3" s="58" t="s">
        <v>13</v>
      </c>
      <c r="C3" s="58" t="s">
        <v>14</v>
      </c>
      <c r="D3" s="58" t="s">
        <v>14</v>
      </c>
      <c r="E3" s="58" t="s">
        <v>15</v>
      </c>
      <c r="F3" s="61" t="s">
        <v>16</v>
      </c>
      <c r="G3" s="58">
        <v>18228131927</v>
      </c>
      <c r="H3" s="58" t="s">
        <v>17</v>
      </c>
      <c r="I3" s="58">
        <v>17323288028</v>
      </c>
      <c r="J3" s="58" t="str">
        <f t="shared" ref="J3:J9" si="0">IF(F3&lt;&gt;"——","有见证取样送检","委托送样检测")</f>
        <v>有见证取样送检</v>
      </c>
    </row>
    <row r="4" ht="25" customHeight="1" spans="1:10">
      <c r="A4" s="58" t="s">
        <v>18</v>
      </c>
      <c r="B4" s="58" t="s">
        <v>19</v>
      </c>
      <c r="C4" s="58" t="s">
        <v>14</v>
      </c>
      <c r="D4" s="58" t="s">
        <v>14</v>
      </c>
      <c r="E4" s="62" t="s">
        <v>20</v>
      </c>
      <c r="F4" s="62" t="s">
        <v>21</v>
      </c>
      <c r="G4" s="62">
        <v>15884546766</v>
      </c>
      <c r="H4" s="62" t="s">
        <v>22</v>
      </c>
      <c r="I4" s="62">
        <v>18128131927</v>
      </c>
      <c r="J4" s="58" t="str">
        <f t="shared" si="0"/>
        <v>有见证取样送检</v>
      </c>
    </row>
    <row r="5" ht="25" customHeight="1" spans="1:10">
      <c r="A5" s="58" t="s">
        <v>23</v>
      </c>
      <c r="B5" s="62" t="s">
        <v>24</v>
      </c>
      <c r="C5" s="58" t="s">
        <v>14</v>
      </c>
      <c r="D5" s="58" t="s">
        <v>14</v>
      </c>
      <c r="E5" s="62" t="s">
        <v>20</v>
      </c>
      <c r="F5" s="62" t="s">
        <v>21</v>
      </c>
      <c r="G5" s="62">
        <v>15884546766</v>
      </c>
      <c r="H5" s="62" t="s">
        <v>22</v>
      </c>
      <c r="I5" s="62">
        <v>18128131927</v>
      </c>
      <c r="J5" s="58" t="str">
        <f t="shared" si="0"/>
        <v>有见证取样送检</v>
      </c>
    </row>
    <row r="6" ht="25" customHeight="1" spans="1:10">
      <c r="A6" s="58" t="s">
        <v>25</v>
      </c>
      <c r="B6" s="62" t="s">
        <v>26</v>
      </c>
      <c r="C6" s="58" t="s">
        <v>14</v>
      </c>
      <c r="D6" s="58" t="s">
        <v>14</v>
      </c>
      <c r="E6" s="62" t="s">
        <v>20</v>
      </c>
      <c r="F6" s="62" t="s">
        <v>21</v>
      </c>
      <c r="G6" s="62">
        <v>15884546766</v>
      </c>
      <c r="H6" s="62" t="s">
        <v>22</v>
      </c>
      <c r="I6" s="62">
        <v>18128131927</v>
      </c>
      <c r="J6" s="58" t="str">
        <f t="shared" si="0"/>
        <v>有见证取样送检</v>
      </c>
    </row>
    <row r="7" ht="25" customHeight="1" spans="1:10">
      <c r="A7" s="58" t="s">
        <v>27</v>
      </c>
      <c r="B7" s="62" t="s">
        <v>28</v>
      </c>
      <c r="C7" s="58" t="s">
        <v>14</v>
      </c>
      <c r="D7" s="58" t="s">
        <v>14</v>
      </c>
      <c r="E7" s="62" t="s">
        <v>20</v>
      </c>
      <c r="F7" s="62" t="s">
        <v>21</v>
      </c>
      <c r="G7" s="62">
        <v>15884546766</v>
      </c>
      <c r="H7" s="62" t="s">
        <v>22</v>
      </c>
      <c r="I7" s="62">
        <v>18128131927</v>
      </c>
      <c r="J7" s="58" t="str">
        <f t="shared" si="0"/>
        <v>有见证取样送检</v>
      </c>
    </row>
    <row r="8" ht="25" customHeight="1" spans="1:10">
      <c r="A8" s="58" t="s">
        <v>29</v>
      </c>
      <c r="B8" s="63" t="s">
        <v>30</v>
      </c>
      <c r="C8" s="58" t="s">
        <v>14</v>
      </c>
      <c r="D8" s="58" t="s">
        <v>14</v>
      </c>
      <c r="E8" s="62" t="s">
        <v>20</v>
      </c>
      <c r="F8" s="62" t="s">
        <v>21</v>
      </c>
      <c r="G8" s="62">
        <v>15884546766</v>
      </c>
      <c r="H8" s="62" t="s">
        <v>22</v>
      </c>
      <c r="I8" s="62">
        <v>18128131927</v>
      </c>
      <c r="J8" s="58" t="str">
        <f t="shared" si="0"/>
        <v>有见证取样送检</v>
      </c>
    </row>
    <row r="9" ht="25" customHeight="1" spans="1:10">
      <c r="A9" s="58" t="s">
        <v>31</v>
      </c>
      <c r="B9" s="41" t="s">
        <v>32</v>
      </c>
      <c r="C9" s="41" t="s">
        <v>33</v>
      </c>
      <c r="D9" s="41" t="s">
        <v>33</v>
      </c>
      <c r="E9" s="41" t="s">
        <v>34</v>
      </c>
      <c r="F9" s="41" t="s">
        <v>35</v>
      </c>
      <c r="G9" s="41">
        <v>15288669020</v>
      </c>
      <c r="H9" s="41" t="s">
        <v>36</v>
      </c>
      <c r="I9" s="64">
        <v>18182238027</v>
      </c>
      <c r="J9" s="58" t="str">
        <f t="shared" si="0"/>
        <v>有见证取样送检</v>
      </c>
    </row>
    <row r="10" ht="25" customHeight="1" spans="1:11">
      <c r="A10"/>
      <c r="B10"/>
      <c r="C10"/>
      <c r="D10"/>
      <c r="E10"/>
      <c r="F10"/>
      <c r="G10"/>
      <c r="H10"/>
      <c r="I10"/>
      <c r="J10"/>
      <c r="K10"/>
    </row>
    <row r="11" ht="25" customHeight="1" spans="1:11">
      <c r="A11"/>
      <c r="B11"/>
      <c r="C11"/>
      <c r="D11"/>
      <c r="E11"/>
      <c r="F11"/>
      <c r="G11"/>
      <c r="H11"/>
      <c r="I11"/>
      <c r="J11"/>
      <c r="K11"/>
    </row>
    <row r="12" ht="25" customHeight="1" spans="1:11">
      <c r="A12"/>
      <c r="B12"/>
      <c r="C12"/>
      <c r="D12"/>
      <c r="E12"/>
      <c r="F12"/>
      <c r="G12"/>
      <c r="H12"/>
      <c r="I12"/>
      <c r="J12"/>
      <c r="K12"/>
    </row>
    <row r="13" ht="25" customHeight="1" spans="1:11">
      <c r="A13"/>
      <c r="B13"/>
      <c r="C13"/>
      <c r="D13"/>
      <c r="E13"/>
      <c r="F13"/>
      <c r="G13"/>
      <c r="H13"/>
      <c r="I13"/>
      <c r="J13"/>
      <c r="K13"/>
    </row>
    <row r="14" ht="25" customHeight="1" spans="1:11">
      <c r="A14"/>
      <c r="B14"/>
      <c r="C14"/>
      <c r="D14"/>
      <c r="E14"/>
      <c r="F14"/>
      <c r="G14"/>
      <c r="H14"/>
      <c r="I14"/>
      <c r="J14"/>
      <c r="K14"/>
    </row>
    <row r="15" ht="25" customHeight="1" spans="1:11">
      <c r="A15"/>
      <c r="B15"/>
      <c r="C15"/>
      <c r="D15"/>
      <c r="E15"/>
      <c r="F15"/>
      <c r="G15"/>
      <c r="H15"/>
      <c r="I15"/>
      <c r="J15"/>
      <c r="K15"/>
    </row>
    <row r="16" ht="25" customHeight="1" spans="1:11">
      <c r="A16"/>
      <c r="B16"/>
      <c r="C16"/>
      <c r="D16"/>
      <c r="E16"/>
      <c r="F16"/>
      <c r="G16"/>
      <c r="H16"/>
      <c r="I16"/>
      <c r="J16"/>
      <c r="K16"/>
    </row>
    <row r="17" ht="25" customHeight="1" spans="1:11">
      <c r="A17"/>
      <c r="B17"/>
      <c r="C17"/>
      <c r="D17"/>
      <c r="E17"/>
      <c r="F17"/>
      <c r="G17"/>
      <c r="H17"/>
      <c r="I17"/>
      <c r="J17"/>
      <c r="K17"/>
    </row>
    <row r="18" ht="25" customHeight="1" spans="1:11">
      <c r="A18"/>
      <c r="B18"/>
      <c r="C18"/>
      <c r="D18"/>
      <c r="E18"/>
      <c r="F18"/>
      <c r="G18"/>
      <c r="H18"/>
      <c r="I18"/>
      <c r="J18"/>
      <c r="K18"/>
    </row>
    <row r="19" ht="25" customHeight="1" spans="1:11">
      <c r="A19"/>
      <c r="B19"/>
      <c r="C19"/>
      <c r="D19"/>
      <c r="E19"/>
      <c r="F19"/>
      <c r="G19"/>
      <c r="H19"/>
      <c r="I19"/>
      <c r="J19"/>
      <c r="K19"/>
    </row>
    <row r="20" ht="25" customHeight="1" spans="1:11">
      <c r="A20"/>
      <c r="B20"/>
      <c r="C20"/>
      <c r="D20"/>
      <c r="E20"/>
      <c r="F20"/>
      <c r="G20"/>
      <c r="H20"/>
      <c r="I20"/>
      <c r="J20"/>
      <c r="K20"/>
    </row>
    <row r="21" ht="25" customHeight="1" spans="1:11">
      <c r="A21"/>
      <c r="B21"/>
      <c r="C21"/>
      <c r="D21"/>
      <c r="E21"/>
      <c r="F21"/>
      <c r="G21"/>
      <c r="H21"/>
      <c r="I21"/>
      <c r="J21"/>
      <c r="K21"/>
    </row>
    <row r="22" ht="25" customHeight="1" spans="1:11">
      <c r="A22"/>
      <c r="B22"/>
      <c r="C22"/>
      <c r="D22"/>
      <c r="E22"/>
      <c r="F22"/>
      <c r="G22"/>
      <c r="H22"/>
      <c r="I22"/>
      <c r="J22"/>
      <c r="K22"/>
    </row>
    <row r="23" ht="25" customHeight="1" spans="1:11">
      <c r="A23"/>
      <c r="B23"/>
      <c r="C23"/>
      <c r="D23"/>
      <c r="E23"/>
      <c r="F23"/>
      <c r="G23"/>
      <c r="H23"/>
      <c r="I23"/>
      <c r="J23"/>
      <c r="K23"/>
    </row>
    <row r="24" ht="25" customHeight="1" spans="1:11">
      <c r="A24"/>
      <c r="B24"/>
      <c r="C24"/>
      <c r="D24"/>
      <c r="E24"/>
      <c r="F24"/>
      <c r="G24"/>
      <c r="H24"/>
      <c r="I24"/>
      <c r="J24"/>
      <c r="K24"/>
    </row>
    <row r="25" ht="25" customHeight="1" spans="1:11">
      <c r="A25"/>
      <c r="B25"/>
      <c r="C25"/>
      <c r="D25"/>
      <c r="E25"/>
      <c r="F25"/>
      <c r="G25"/>
      <c r="H25"/>
      <c r="I25"/>
      <c r="J25"/>
      <c r="K25"/>
    </row>
    <row r="26" ht="25" customHeight="1" spans="1:11">
      <c r="A26"/>
      <c r="B26"/>
      <c r="C26"/>
      <c r="D26"/>
      <c r="E26"/>
      <c r="F26"/>
      <c r="G26"/>
      <c r="H26"/>
      <c r="I26"/>
      <c r="J26"/>
      <c r="K26"/>
    </row>
    <row r="27" ht="25" customHeight="1" spans="1:11">
      <c r="A27"/>
      <c r="B27"/>
      <c r="C27"/>
      <c r="D27"/>
      <c r="E27"/>
      <c r="F27"/>
      <c r="G27"/>
      <c r="H27"/>
      <c r="I27"/>
      <c r="J27"/>
      <c r="K27"/>
    </row>
    <row r="28" ht="25" customHeight="1" spans="1:11">
      <c r="A28"/>
      <c r="B28"/>
      <c r="C28"/>
      <c r="D28"/>
      <c r="E28"/>
      <c r="F28"/>
      <c r="G28"/>
      <c r="H28"/>
      <c r="I28"/>
      <c r="J28"/>
      <c r="K28"/>
    </row>
    <row r="29" ht="25" customHeight="1" spans="1:11">
      <c r="A29"/>
      <c r="B29"/>
      <c r="C29"/>
      <c r="D29"/>
      <c r="E29"/>
      <c r="F29"/>
      <c r="G29"/>
      <c r="H29"/>
      <c r="I29"/>
      <c r="J29"/>
      <c r="K29"/>
    </row>
    <row r="30" ht="25" customHeight="1"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B27"/>
  <sheetViews>
    <sheetView tabSelected="1" workbookViewId="0">
      <pane xSplit="2" ySplit="8" topLeftCell="C9" activePane="bottomRight" state="frozen"/>
      <selection/>
      <selection pane="topRight"/>
      <selection pane="bottomLeft"/>
      <selection pane="bottomRight" activeCell="G5" sqref="G5:J5"/>
    </sheetView>
  </sheetViews>
  <sheetFormatPr defaultColWidth="9" defaultRowHeight="13.5"/>
  <cols>
    <col min="1" max="1" width="9" style="41"/>
    <col min="2" max="3" width="8.875" style="41" customWidth="1"/>
    <col min="4" max="4" width="9.875" style="42" customWidth="1"/>
    <col min="5" max="5" width="15.625" style="42" customWidth="1"/>
    <col min="6" max="6" width="26.5" style="42" customWidth="1"/>
    <col min="7" max="7" width="22.75" style="42" customWidth="1"/>
    <col min="8" max="9" width="9" style="41"/>
    <col min="10" max="10" width="19.625" style="41" customWidth="1"/>
    <col min="11" max="11" width="11.5" style="42"/>
    <col min="12" max="12" width="15.375" style="42" customWidth="1"/>
    <col min="13" max="13" width="11.5" style="42"/>
    <col min="14" max="21" width="9" style="41"/>
    <col min="22" max="22" width="14" style="41" customWidth="1"/>
    <col min="23" max="23" width="10.75" style="41" customWidth="1"/>
    <col min="24" max="24" width="12.625" style="41"/>
    <col min="25" max="26" width="9" style="41"/>
    <col min="27" max="28" width="12.625" style="41"/>
    <col min="29" max="16384" width="9" style="41"/>
  </cols>
  <sheetData>
    <row r="1" ht="27" customHeight="1" spans="1:21">
      <c r="A1" s="43" t="s">
        <v>37</v>
      </c>
      <c r="B1" s="43"/>
      <c r="C1" s="43"/>
      <c r="D1" s="44"/>
      <c r="E1" s="44"/>
      <c r="F1" s="44"/>
      <c r="G1" s="44"/>
      <c r="H1" s="43"/>
      <c r="I1" s="43"/>
      <c r="J1" s="43"/>
      <c r="K1" s="1"/>
      <c r="L1" s="1"/>
      <c r="M1" s="1"/>
      <c r="T1" s="41" t="s">
        <v>38</v>
      </c>
      <c r="U1" s="41" t="s">
        <v>39</v>
      </c>
    </row>
    <row r="2" ht="25" customHeight="1" spans="1:24">
      <c r="A2" s="41" t="s">
        <v>3</v>
      </c>
      <c r="B2" s="41" t="s">
        <v>40</v>
      </c>
      <c r="K2" s="1" t="s">
        <v>41</v>
      </c>
      <c r="L2" s="1" t="str">
        <f>IF(B5&lt;&gt;"","有见证取样送检","委托检测")</f>
        <v>有见证取样送检</v>
      </c>
      <c r="M2" s="1"/>
      <c r="U2" s="56" t="s">
        <v>42</v>
      </c>
      <c r="V2" s="56"/>
      <c r="W2" s="56" t="s">
        <v>43</v>
      </c>
      <c r="X2" s="56"/>
    </row>
    <row r="3" ht="25" customHeight="1" spans="1:24">
      <c r="A3" s="41" t="s">
        <v>4</v>
      </c>
      <c r="B3" s="41" t="s">
        <v>40</v>
      </c>
      <c r="K3" s="1"/>
      <c r="L3" s="1"/>
      <c r="M3" s="1"/>
      <c r="U3" s="56"/>
      <c r="V3" s="56"/>
      <c r="W3" s="56"/>
      <c r="X3" s="56"/>
    </row>
    <row r="4" ht="25" customHeight="1" spans="1:24">
      <c r="A4" s="45" t="s">
        <v>5</v>
      </c>
      <c r="B4" s="41" t="s">
        <v>44</v>
      </c>
      <c r="K4" s="1"/>
      <c r="L4" s="1"/>
      <c r="M4" s="1"/>
      <c r="U4" s="57" t="s">
        <v>45</v>
      </c>
      <c r="V4" s="57">
        <f>100*100</f>
        <v>10000</v>
      </c>
      <c r="W4" s="57" t="s">
        <v>45</v>
      </c>
      <c r="X4" s="57">
        <f>ROUND(PI()*(51/2)^2,2)</f>
        <v>2042.82</v>
      </c>
    </row>
    <row r="5" ht="25" customHeight="1" spans="1:25">
      <c r="A5" s="45" t="s">
        <v>6</v>
      </c>
      <c r="B5" s="1" t="s">
        <v>46</v>
      </c>
      <c r="C5" s="1"/>
      <c r="D5" s="1"/>
      <c r="E5" s="1"/>
      <c r="F5" s="46" t="s">
        <v>7</v>
      </c>
      <c r="G5" s="1">
        <v>18048460602</v>
      </c>
      <c r="H5" s="1"/>
      <c r="I5" s="1"/>
      <c r="J5" s="1"/>
      <c r="K5" s="1"/>
      <c r="L5" s="1"/>
      <c r="M5" s="1"/>
      <c r="U5" s="56" t="s">
        <v>47</v>
      </c>
      <c r="V5" s="56">
        <v>1</v>
      </c>
      <c r="W5" s="56" t="s">
        <v>47</v>
      </c>
      <c r="X5" s="41">
        <v>1</v>
      </c>
      <c r="Y5" s="41" t="s">
        <v>48</v>
      </c>
    </row>
    <row r="6" ht="25" customHeight="1" spans="1:28">
      <c r="A6" s="45" t="s">
        <v>8</v>
      </c>
      <c r="B6" s="1" t="s">
        <v>49</v>
      </c>
      <c r="C6" s="1"/>
      <c r="D6" s="1"/>
      <c r="E6" s="1"/>
      <c r="F6" s="46" t="s">
        <v>9</v>
      </c>
      <c r="G6" s="1">
        <v>18284850370</v>
      </c>
      <c r="H6" s="1"/>
      <c r="I6" s="1"/>
      <c r="J6" s="1"/>
      <c r="K6" s="1"/>
      <c r="L6" s="1"/>
      <c r="M6" s="1"/>
      <c r="U6" s="56" t="s">
        <v>50</v>
      </c>
      <c r="V6" s="56" t="s">
        <v>51</v>
      </c>
      <c r="W6" s="56" t="s">
        <v>50</v>
      </c>
      <c r="X6" s="56" t="s">
        <v>51</v>
      </c>
      <c r="Y6" s="56" t="s">
        <v>50</v>
      </c>
      <c r="Z6" s="56" t="s">
        <v>51</v>
      </c>
      <c r="AA6" s="56" t="s">
        <v>50</v>
      </c>
      <c r="AB6" s="56" t="s">
        <v>51</v>
      </c>
    </row>
    <row r="7" ht="25" customHeight="1" spans="1:28">
      <c r="A7" s="41" t="s">
        <v>52</v>
      </c>
      <c r="B7" s="47" t="s">
        <v>53</v>
      </c>
      <c r="C7" s="47"/>
      <c r="D7" s="47" t="s">
        <v>54</v>
      </c>
      <c r="E7" s="47"/>
      <c r="F7" s="47"/>
      <c r="G7" s="47"/>
      <c r="H7" s="47"/>
      <c r="I7" s="47"/>
      <c r="J7" s="47"/>
      <c r="K7" s="1" t="s">
        <v>55</v>
      </c>
      <c r="L7" s="1" t="s">
        <v>56</v>
      </c>
      <c r="M7" s="1" t="s">
        <v>57</v>
      </c>
      <c r="N7" s="41" t="s">
        <v>58</v>
      </c>
      <c r="O7" s="41" t="s">
        <v>39</v>
      </c>
      <c r="R7" s="58" t="s">
        <v>59</v>
      </c>
      <c r="T7" s="41" t="s">
        <v>60</v>
      </c>
      <c r="U7" s="41">
        <f>ROUND(Y7*$V$4/1000,2)</f>
        <v>113</v>
      </c>
      <c r="V7" s="41">
        <f>ROUND(Z7*$V$4/1000,2)</f>
        <v>145</v>
      </c>
      <c r="W7" s="41">
        <f>ROUND(AA7*$X$4/1000,2)</f>
        <v>23.08</v>
      </c>
      <c r="X7" s="41">
        <f>ROUND(AB7*$X$4/1000,2)</f>
        <v>30.23</v>
      </c>
      <c r="Y7" s="59">
        <v>11.3</v>
      </c>
      <c r="Z7" s="41">
        <v>14.5</v>
      </c>
      <c r="AA7" s="59">
        <v>11.3</v>
      </c>
      <c r="AB7" s="41">
        <v>14.8</v>
      </c>
    </row>
    <row r="8" ht="25" customHeight="1" spans="2:28">
      <c r="B8" s="47"/>
      <c r="C8" s="47"/>
      <c r="D8" s="46" t="s">
        <v>61</v>
      </c>
      <c r="E8" s="46" t="s">
        <v>62</v>
      </c>
      <c r="F8" s="46" t="s">
        <v>63</v>
      </c>
      <c r="G8" s="46" t="s">
        <v>64</v>
      </c>
      <c r="H8" s="46" t="s">
        <v>65</v>
      </c>
      <c r="I8" s="46" t="s">
        <v>66</v>
      </c>
      <c r="J8" s="46" t="s">
        <v>67</v>
      </c>
      <c r="K8" s="1"/>
      <c r="L8" s="1"/>
      <c r="M8" s="1"/>
      <c r="O8" s="41">
        <v>1</v>
      </c>
      <c r="P8" s="41">
        <v>2</v>
      </c>
      <c r="Q8" s="41">
        <v>3</v>
      </c>
      <c r="R8" s="58"/>
      <c r="T8" s="41" t="s">
        <v>68</v>
      </c>
      <c r="U8" s="41">
        <f>ROUND(Y8*$V$4/1000,2)</f>
        <v>153</v>
      </c>
      <c r="V8" s="41">
        <f>ROUND(Z8*$V$4/1000,2)</f>
        <v>195</v>
      </c>
      <c r="W8" s="41">
        <f>ROUND(AA8*$X$4/1000,2)</f>
        <v>31.26</v>
      </c>
      <c r="X8" s="41">
        <f>ROUND(AB8*$X$4/1000,2)</f>
        <v>39.83</v>
      </c>
      <c r="Y8" s="59">
        <v>15.3</v>
      </c>
      <c r="Z8" s="41">
        <v>19.5</v>
      </c>
      <c r="AA8" s="59">
        <v>15.3</v>
      </c>
      <c r="AB8" s="41">
        <v>19.5</v>
      </c>
    </row>
    <row r="9" ht="25" customHeight="1" spans="1:28">
      <c r="A9" s="45">
        <v>5</v>
      </c>
      <c r="B9" s="45" t="s">
        <v>69</v>
      </c>
      <c r="C9" s="45" t="s">
        <v>70</v>
      </c>
      <c r="D9" s="48" t="s">
        <v>71</v>
      </c>
      <c r="E9" s="48" t="s">
        <v>42</v>
      </c>
      <c r="F9" s="48" t="s">
        <v>72</v>
      </c>
      <c r="G9" s="48" t="s">
        <v>73</v>
      </c>
      <c r="H9" s="49" t="s">
        <v>74</v>
      </c>
      <c r="I9" s="52" t="s">
        <v>75</v>
      </c>
      <c r="J9" s="52" t="s">
        <v>76</v>
      </c>
      <c r="K9" s="53">
        <v>44317</v>
      </c>
      <c r="L9" s="53">
        <f>K9+1</f>
        <v>44318</v>
      </c>
      <c r="M9" s="53">
        <f>L9+1</f>
        <v>44319</v>
      </c>
      <c r="N9" s="41">
        <f t="shared" ref="N9:N19" si="0">IF(E9="100×100×100",100*100,IF(E9="51×102×51",ROUND(PI()*(51/2)^2,2),""))</f>
        <v>10000</v>
      </c>
      <c r="O9" s="54">
        <v>430</v>
      </c>
      <c r="P9" s="54">
        <v>490.9</v>
      </c>
      <c r="Q9" s="54">
        <v>494.2</v>
      </c>
      <c r="T9" s="41" t="s">
        <v>77</v>
      </c>
      <c r="U9" s="41">
        <f>ROUND(Y9*$V$4/1000,2)</f>
        <v>213</v>
      </c>
      <c r="V9" s="41">
        <f>ROUND(Z9*$V$4/1000,2)</f>
        <v>297</v>
      </c>
      <c r="W9" s="41">
        <f>ROUND(AA9*$X$4/1000,2)</f>
        <v>43.51</v>
      </c>
      <c r="X9" s="41">
        <f>ROUND(AB9*$X$4/1000,2)</f>
        <v>60.67</v>
      </c>
      <c r="Y9" s="59">
        <v>21.3</v>
      </c>
      <c r="Z9" s="41">
        <v>29.7</v>
      </c>
      <c r="AA9" s="59">
        <v>21.3</v>
      </c>
      <c r="AB9" s="41">
        <v>29.7</v>
      </c>
    </row>
    <row r="10" ht="25" customHeight="1" spans="1:28">
      <c r="A10" s="45">
        <v>9</v>
      </c>
      <c r="B10" s="45" t="s">
        <v>69</v>
      </c>
      <c r="C10" s="45" t="s">
        <v>70</v>
      </c>
      <c r="D10" s="48" t="s">
        <v>71</v>
      </c>
      <c r="E10" s="48" t="s">
        <v>42</v>
      </c>
      <c r="F10" s="48" t="s">
        <v>72</v>
      </c>
      <c r="G10" s="48" t="s">
        <v>78</v>
      </c>
      <c r="H10" s="49" t="s">
        <v>74</v>
      </c>
      <c r="I10" s="52" t="s">
        <v>75</v>
      </c>
      <c r="J10" s="52" t="s">
        <v>79</v>
      </c>
      <c r="K10" s="53">
        <v>44317</v>
      </c>
      <c r="L10" s="53">
        <f>K10+1</f>
        <v>44318</v>
      </c>
      <c r="M10" s="53">
        <f>L10+1</f>
        <v>44319</v>
      </c>
      <c r="N10" s="41">
        <f t="shared" si="0"/>
        <v>10000</v>
      </c>
      <c r="O10" s="54">
        <v>413.5</v>
      </c>
      <c r="P10" s="54">
        <v>467.3</v>
      </c>
      <c r="Q10" s="54">
        <v>480.1</v>
      </c>
      <c r="T10" s="41" t="s">
        <v>80</v>
      </c>
      <c r="U10" s="41">
        <f>ROUND(Y10*$V$4/1000,2)</f>
        <v>611</v>
      </c>
      <c r="V10" s="41">
        <f>ROUND(Z10*$V$4/1000,2)</f>
        <v>785</v>
      </c>
      <c r="W10" s="41">
        <f>ROUND(AA10*$X$4/1000,2)</f>
        <v>124.82</v>
      </c>
      <c r="X10" s="41">
        <f>ROUND(AB10*$X$4/1000,2)</f>
        <v>160.36</v>
      </c>
      <c r="Y10" s="59">
        <v>61.1</v>
      </c>
      <c r="Z10" s="41">
        <v>78.5</v>
      </c>
      <c r="AA10" s="59">
        <v>61.1</v>
      </c>
      <c r="AB10" s="41">
        <v>78.5</v>
      </c>
    </row>
    <row r="11" ht="25" customHeight="1" spans="1:28">
      <c r="A11" s="45">
        <v>8</v>
      </c>
      <c r="B11" s="45" t="s">
        <v>69</v>
      </c>
      <c r="C11" s="45" t="s">
        <v>70</v>
      </c>
      <c r="D11" s="48" t="s">
        <v>71</v>
      </c>
      <c r="E11" s="48" t="s">
        <v>42</v>
      </c>
      <c r="F11" s="48" t="s">
        <v>72</v>
      </c>
      <c r="G11" s="48" t="s">
        <v>81</v>
      </c>
      <c r="H11" s="49" t="s">
        <v>74</v>
      </c>
      <c r="I11" s="52" t="s">
        <v>75</v>
      </c>
      <c r="J11" s="52" t="s">
        <v>82</v>
      </c>
      <c r="K11" s="53">
        <v>44323</v>
      </c>
      <c r="L11" s="53">
        <f>K11+1</f>
        <v>44324</v>
      </c>
      <c r="M11" s="53">
        <f>L11+1</f>
        <v>44325</v>
      </c>
      <c r="N11" s="41">
        <f t="shared" si="0"/>
        <v>10000</v>
      </c>
      <c r="O11" s="54">
        <v>486.4</v>
      </c>
      <c r="P11" s="54">
        <v>485.9</v>
      </c>
      <c r="Q11" s="54">
        <v>452.7</v>
      </c>
      <c r="T11" s="41" t="s">
        <v>83</v>
      </c>
      <c r="U11" s="41">
        <f>ROUND(Y11*$V$4/1000,2)</f>
        <v>511</v>
      </c>
      <c r="V11" s="41">
        <f>ROUND(Z11*$V$4/1000,2)</f>
        <v>595</v>
      </c>
      <c r="W11" s="41">
        <f>ROUND(AA11*$X$4/1000,2)</f>
        <v>104.39</v>
      </c>
      <c r="X11" s="41">
        <f>ROUND(AB11*$X$4/1000,2)</f>
        <v>121.55</v>
      </c>
      <c r="Y11" s="59">
        <v>51.1</v>
      </c>
      <c r="Z11" s="41">
        <v>59.5</v>
      </c>
      <c r="AA11" s="59">
        <v>51.1</v>
      </c>
      <c r="AB11" s="41">
        <v>59.5</v>
      </c>
    </row>
    <row r="12" ht="25" customHeight="1" spans="1:28">
      <c r="A12" s="45">
        <v>6</v>
      </c>
      <c r="B12" s="45" t="s">
        <v>69</v>
      </c>
      <c r="C12" s="45" t="s">
        <v>70</v>
      </c>
      <c r="D12" s="48" t="s">
        <v>71</v>
      </c>
      <c r="E12" s="48" t="s">
        <v>42</v>
      </c>
      <c r="F12" s="48" t="s">
        <v>72</v>
      </c>
      <c r="G12" s="48" t="s">
        <v>84</v>
      </c>
      <c r="H12" s="49" t="s">
        <v>74</v>
      </c>
      <c r="I12" s="52" t="s">
        <v>75</v>
      </c>
      <c r="J12" s="52" t="s">
        <v>85</v>
      </c>
      <c r="K12" s="53">
        <v>44325</v>
      </c>
      <c r="L12" s="53">
        <f>K12+1</f>
        <v>44326</v>
      </c>
      <c r="M12" s="53">
        <f>L12+1</f>
        <v>44327</v>
      </c>
      <c r="N12" s="41">
        <f t="shared" si="0"/>
        <v>10000</v>
      </c>
      <c r="O12" s="54">
        <v>466.4</v>
      </c>
      <c r="P12" s="54">
        <v>440</v>
      </c>
      <c r="Q12" s="54">
        <v>413.3</v>
      </c>
      <c r="T12" s="41" t="s">
        <v>86</v>
      </c>
      <c r="U12" s="41">
        <f>ROUND(Y12*$V$4/1000,2)</f>
        <v>312</v>
      </c>
      <c r="V12" s="41">
        <f>ROUND(Z12*$V$4/1000,2)</f>
        <v>395</v>
      </c>
      <c r="W12" s="41">
        <f>ROUND(AA12*$X$4/1000,2)</f>
        <v>63.74</v>
      </c>
      <c r="X12" s="41">
        <f>ROUND(AB12*$X$4/1000,2)</f>
        <v>80.69</v>
      </c>
      <c r="Y12" s="59">
        <v>31.2</v>
      </c>
      <c r="Z12" s="41">
        <v>39.5</v>
      </c>
      <c r="AA12" s="59">
        <v>31.2</v>
      </c>
      <c r="AB12" s="41">
        <v>39.5</v>
      </c>
    </row>
    <row r="13" ht="25" customHeight="1" spans="1:28">
      <c r="A13" s="45">
        <v>7</v>
      </c>
      <c r="B13" s="45" t="s">
        <v>69</v>
      </c>
      <c r="C13" s="45" t="s">
        <v>70</v>
      </c>
      <c r="D13" s="48" t="s">
        <v>71</v>
      </c>
      <c r="E13" s="48" t="s">
        <v>42</v>
      </c>
      <c r="F13" s="48" t="s">
        <v>72</v>
      </c>
      <c r="G13" s="48" t="s">
        <v>87</v>
      </c>
      <c r="H13" s="49" t="s">
        <v>74</v>
      </c>
      <c r="I13" s="52" t="s">
        <v>75</v>
      </c>
      <c r="J13" s="52" t="s">
        <v>88</v>
      </c>
      <c r="K13" s="53">
        <v>44327</v>
      </c>
      <c r="L13" s="53">
        <f>K13+1</f>
        <v>44328</v>
      </c>
      <c r="M13" s="53">
        <f>L13+1</f>
        <v>44329</v>
      </c>
      <c r="N13" s="41">
        <f t="shared" si="0"/>
        <v>10000</v>
      </c>
      <c r="O13" s="54">
        <v>478.6</v>
      </c>
      <c r="P13" s="54">
        <v>434.2</v>
      </c>
      <c r="Q13" s="54">
        <v>457.4</v>
      </c>
      <c r="T13" s="41" t="s">
        <v>71</v>
      </c>
      <c r="U13" s="41">
        <f>ROUND(Y13*$V$4/1000,2)</f>
        <v>411</v>
      </c>
      <c r="V13" s="41">
        <f>ROUND(Z13*$V$4/1000,2)</f>
        <v>495</v>
      </c>
      <c r="W13" s="41">
        <f>ROUND(AA13*$X$4/1000,2)</f>
        <v>83.96</v>
      </c>
      <c r="X13" s="41">
        <f>ROUND(AB13*$X$4/1000,2)</f>
        <v>101.12</v>
      </c>
      <c r="Y13" s="59">
        <v>41.1</v>
      </c>
      <c r="Z13" s="41">
        <v>49.5</v>
      </c>
      <c r="AA13" s="59">
        <v>41.1</v>
      </c>
      <c r="AB13" s="41">
        <v>49.5</v>
      </c>
    </row>
    <row r="14" ht="25" customHeight="1" spans="2:28">
      <c r="B14" s="45"/>
      <c r="C14" s="45"/>
      <c r="D14" s="48"/>
      <c r="E14" s="48"/>
      <c r="F14" s="50"/>
      <c r="G14" s="50"/>
      <c r="H14" s="45"/>
      <c r="I14" s="55"/>
      <c r="J14" s="55"/>
      <c r="N14" s="41" t="str">
        <f t="shared" si="0"/>
        <v/>
      </c>
      <c r="O14" s="54"/>
      <c r="P14" s="54"/>
      <c r="Q14" s="54"/>
      <c r="T14" s="41" t="s">
        <v>89</v>
      </c>
      <c r="U14" s="41">
        <f>ROUND(Y14*$V$4/1000,2)</f>
        <v>815</v>
      </c>
      <c r="V14" s="41">
        <f>ROUND(Z14*$V$4/1000,2)</f>
        <v>895</v>
      </c>
      <c r="W14" s="41">
        <f>ROUND(AA14*$X$4/1000,2)</f>
        <v>166.49</v>
      </c>
      <c r="X14" s="41">
        <f>ROUND(AB14*$X$4/1000,2)</f>
        <v>182.83</v>
      </c>
      <c r="Y14" s="59">
        <v>81.5</v>
      </c>
      <c r="Z14" s="41">
        <v>89.5</v>
      </c>
      <c r="AA14" s="59">
        <v>81.5</v>
      </c>
      <c r="AB14" s="41">
        <v>89.5</v>
      </c>
    </row>
    <row r="15" ht="25" customHeight="1" spans="4:24">
      <c r="D15" s="48"/>
      <c r="E15" s="50"/>
      <c r="F15" s="50"/>
      <c r="G15" s="50"/>
      <c r="H15" s="45"/>
      <c r="I15" s="55"/>
      <c r="J15" s="55"/>
      <c r="N15" s="41" t="str">
        <f t="shared" si="0"/>
        <v/>
      </c>
      <c r="O15" s="54"/>
      <c r="P15" s="54"/>
      <c r="Q15" s="54"/>
      <c r="U15"/>
      <c r="V15"/>
      <c r="W15"/>
      <c r="X15"/>
    </row>
    <row r="16" ht="25" customHeight="1" spans="4:17">
      <c r="D16" s="48"/>
      <c r="E16" s="50"/>
      <c r="F16" s="50"/>
      <c r="G16" s="50"/>
      <c r="H16" s="45"/>
      <c r="I16" s="55"/>
      <c r="J16" s="55"/>
      <c r="N16" s="41" t="str">
        <f t="shared" si="0"/>
        <v/>
      </c>
      <c r="O16" s="54"/>
      <c r="P16" s="54"/>
      <c r="Q16" s="54"/>
    </row>
    <row r="17" ht="25" customHeight="1" spans="4:17">
      <c r="D17" s="50"/>
      <c r="E17" s="51"/>
      <c r="F17" s="50"/>
      <c r="G17" s="50"/>
      <c r="H17" s="45"/>
      <c r="I17" s="55"/>
      <c r="J17" s="45"/>
      <c r="N17" s="41" t="str">
        <f t="shared" si="0"/>
        <v/>
      </c>
      <c r="O17" s="54"/>
      <c r="P17" s="54"/>
      <c r="Q17" s="54"/>
    </row>
    <row r="18" ht="25" customHeight="1" spans="4:17">
      <c r="D18" s="50"/>
      <c r="E18" s="48"/>
      <c r="F18" s="50"/>
      <c r="G18" s="50"/>
      <c r="H18" s="45"/>
      <c r="I18" s="55"/>
      <c r="J18" s="45"/>
      <c r="N18" s="41" t="str">
        <f t="shared" si="0"/>
        <v/>
      </c>
      <c r="O18" s="54"/>
      <c r="P18" s="54"/>
      <c r="Q18" s="54"/>
    </row>
    <row r="19" ht="25" customHeight="1" spans="4:17">
      <c r="D19" s="50"/>
      <c r="E19" s="48"/>
      <c r="F19" s="50"/>
      <c r="G19" s="50"/>
      <c r="H19" s="45"/>
      <c r="I19" s="55"/>
      <c r="J19" s="45"/>
      <c r="N19" s="41" t="str">
        <f t="shared" si="0"/>
        <v/>
      </c>
      <c r="O19" s="54"/>
      <c r="P19" s="54"/>
      <c r="Q19" s="54"/>
    </row>
    <row r="20" ht="25" customHeight="1" spans="4:17">
      <c r="D20" s="50"/>
      <c r="E20" s="48"/>
      <c r="F20" s="50"/>
      <c r="G20" s="50"/>
      <c r="H20" s="45"/>
      <c r="I20" s="55"/>
      <c r="J20" s="45"/>
      <c r="O20" s="54"/>
      <c r="P20" s="54"/>
      <c r="Q20" s="54"/>
    </row>
    <row r="21" ht="25" customHeight="1" spans="4:17">
      <c r="D21" s="50"/>
      <c r="E21" s="48"/>
      <c r="F21" s="50"/>
      <c r="G21" s="50"/>
      <c r="H21" s="45"/>
      <c r="I21" s="55"/>
      <c r="J21" s="45"/>
      <c r="O21" s="54"/>
      <c r="P21" s="54"/>
      <c r="Q21" s="54"/>
    </row>
    <row r="22" ht="25" customHeight="1" spans="4:17">
      <c r="D22" s="50"/>
      <c r="E22" s="48"/>
      <c r="F22" s="50"/>
      <c r="G22" s="50"/>
      <c r="H22" s="45"/>
      <c r="I22" s="55"/>
      <c r="J22" s="45"/>
      <c r="O22" s="54"/>
      <c r="P22" s="54"/>
      <c r="Q22" s="54"/>
    </row>
    <row r="23" ht="25" customHeight="1" spans="4:17">
      <c r="D23" s="50"/>
      <c r="E23" s="48"/>
      <c r="F23" s="50"/>
      <c r="G23" s="50"/>
      <c r="H23" s="45"/>
      <c r="I23" s="55"/>
      <c r="J23" s="45"/>
      <c r="O23" s="54"/>
      <c r="P23" s="54"/>
      <c r="Q23" s="54"/>
    </row>
    <row r="24" ht="25" customHeight="1" spans="15:17">
      <c r="O24" s="54"/>
      <c r="P24" s="54"/>
      <c r="Q24" s="54"/>
    </row>
    <row r="25" ht="25" customHeight="1" spans="15:17">
      <c r="O25" s="54"/>
      <c r="P25" s="54"/>
      <c r="Q25" s="54"/>
    </row>
    <row r="26" ht="25" customHeight="1" spans="15:17">
      <c r="O26" s="54"/>
      <c r="P26" s="54"/>
      <c r="Q26" s="54"/>
    </row>
    <row r="27" spans="15:17">
      <c r="O27" s="54"/>
      <c r="P27" s="54"/>
      <c r="Q27" s="54"/>
    </row>
  </sheetData>
  <sortState ref="A9:AB13">
    <sortCondition ref="K9:K13"/>
  </sortState>
  <mergeCells count="22">
    <mergeCell ref="A1:J1"/>
    <mergeCell ref="U1:X1"/>
    <mergeCell ref="B2:J2"/>
    <mergeCell ref="U2:V2"/>
    <mergeCell ref="W2:X2"/>
    <mergeCell ref="B3:J3"/>
    <mergeCell ref="B4:J4"/>
    <mergeCell ref="B5:E5"/>
    <mergeCell ref="G5:J5"/>
    <mergeCell ref="Y5:AB5"/>
    <mergeCell ref="B6:E6"/>
    <mergeCell ref="G6:J6"/>
    <mergeCell ref="D7:J7"/>
    <mergeCell ref="O7:Q7"/>
    <mergeCell ref="A7:A8"/>
    <mergeCell ref="B7:B8"/>
    <mergeCell ref="K7:K8"/>
    <mergeCell ref="L7:L8"/>
    <mergeCell ref="M7:M8"/>
    <mergeCell ref="N7:N8"/>
    <mergeCell ref="R7:R8"/>
    <mergeCell ref="T1:T6"/>
  </mergeCells>
  <dataValidations count="1">
    <dataValidation type="list" allowBlank="1" showInputMessage="1" showErrorMessage="1" sqref="E9 E10 E11 E12 E13 E14">
      <formula1>"100×100×100,51×102×51"</formula1>
    </dataValidation>
  </dataValidations>
  <pageMargins left="0.75" right="0.75" top="1" bottom="1" header="0.5" footer="0.5"/>
  <headerFooter/>
  <drawing r:id="rId1"/>
  <legacyDrawing r:id="rId2"/>
  <controls>
    <mc:AlternateContent xmlns:mc="http://schemas.openxmlformats.org/markup-compatibility/2006">
      <mc:Choice Requires="x14">
        <control shapeId="2049" r:id="rId3" name="CommandButton1">
          <controlPr defaultSize="0" r:id="rId4">
            <anchor moveWithCells="1">
              <from>
                <xdr:col>14</xdr:col>
                <xdr:colOff>238125</xdr:colOff>
                <xdr:row>4</xdr:row>
                <xdr:rowOff>57150</xdr:rowOff>
              </from>
              <to>
                <xdr:col>16</xdr:col>
                <xdr:colOff>571500</xdr:colOff>
                <xdr:row>5</xdr:row>
                <xdr:rowOff>152400</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defaultSize="0" r:id="rId6">
            <anchor moveWithCells="1">
              <from>
                <xdr:col>10</xdr:col>
                <xdr:colOff>447675</xdr:colOff>
                <xdr:row>2</xdr:row>
                <xdr:rowOff>161925</xdr:rowOff>
              </from>
              <to>
                <xdr:col>11</xdr:col>
                <xdr:colOff>1104900</xdr:colOff>
                <xdr:row>3</xdr:row>
                <xdr:rowOff>285750</xdr:rowOff>
              </to>
            </anchor>
          </controlPr>
        </control>
      </mc:Choice>
      <mc:Fallback>
        <control shapeId="2050" r:id="rId5" name="CommandButton2"/>
      </mc:Fallback>
    </mc:AlternateContent>
    <mc:AlternateContent xmlns:mc="http://schemas.openxmlformats.org/markup-compatibility/2006">
      <mc:Choice Requires="x14">
        <control shapeId="2051" r:id="rId7" name="CommandButton3">
          <controlPr defaultSize="0" r:id="rId8">
            <anchor moveWithCells="1">
              <from>
                <xdr:col>10</xdr:col>
                <xdr:colOff>438150</xdr:colOff>
                <xdr:row>3</xdr:row>
                <xdr:rowOff>314325</xdr:rowOff>
              </from>
              <to>
                <xdr:col>11</xdr:col>
                <xdr:colOff>1095375</xdr:colOff>
                <xdr:row>5</xdr:row>
                <xdr:rowOff>120650</xdr:rowOff>
              </to>
            </anchor>
          </controlPr>
        </control>
      </mc:Choice>
      <mc:Fallback>
        <control shapeId="2051" r:id="rId7"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FC23"/>
  <sheetViews>
    <sheetView view="pageBreakPreview" zoomScaleNormal="100" workbookViewId="0">
      <selection activeCell="A13" sqref="A13"/>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90</v>
      </c>
      <c r="B1" s="4" t="s">
        <v>91</v>
      </c>
      <c r="C1" s="5"/>
      <c r="D1" s="6"/>
      <c r="E1" s="7" t="s">
        <v>92</v>
      </c>
      <c r="F1" s="7"/>
      <c r="G1" s="7"/>
      <c r="H1" s="7"/>
      <c r="XEX1"/>
      <c r="XEY1"/>
      <c r="XEZ1"/>
      <c r="XFA1"/>
      <c r="XFB1"/>
      <c r="XFC1"/>
    </row>
    <row r="2" s="1" customFormat="1" spans="1:16383">
      <c r="A2" s="3"/>
      <c r="B2" s="4"/>
      <c r="C2" s="5"/>
      <c r="D2" s="8"/>
      <c r="E2" s="9" t="s">
        <v>93</v>
      </c>
      <c r="F2" s="10" t="s">
        <v>94</v>
      </c>
      <c r="G2" s="10"/>
      <c r="H2" s="10"/>
      <c r="XEX2"/>
      <c r="XEY2"/>
      <c r="XEZ2"/>
      <c r="XFA2"/>
      <c r="XFB2"/>
      <c r="XFC2"/>
    </row>
    <row r="3" s="1" customFormat="1" spans="1:16383">
      <c r="A3" s="11"/>
      <c r="B3" s="12"/>
      <c r="C3" s="12"/>
      <c r="D3" s="12"/>
      <c r="E3" s="13" t="s">
        <v>95</v>
      </c>
      <c r="F3" s="14" t="s">
        <v>96</v>
      </c>
      <c r="G3" s="14"/>
      <c r="H3" s="14"/>
      <c r="XEX3"/>
      <c r="XEY3"/>
      <c r="XEZ3"/>
      <c r="XFA3"/>
      <c r="XFB3"/>
      <c r="XFC3"/>
    </row>
    <row r="4" s="1" customFormat="1" ht="11" customHeight="1" spans="1:16383">
      <c r="A4" s="8"/>
      <c r="E4" s="15"/>
      <c r="F4" s="7"/>
      <c r="G4" s="7"/>
      <c r="H4" s="7"/>
      <c r="XEX4"/>
      <c r="XEY4"/>
      <c r="XEZ4"/>
      <c r="XFA4"/>
      <c r="XFB4"/>
      <c r="XFC4"/>
    </row>
    <row r="5" ht="26" customHeight="1" spans="1:9">
      <c r="A5" s="16" t="s">
        <v>97</v>
      </c>
      <c r="B5" s="16"/>
      <c r="C5" s="16"/>
      <c r="D5" s="16"/>
      <c r="E5" s="16"/>
      <c r="F5" s="16"/>
      <c r="G5" s="16"/>
      <c r="H5" s="16"/>
      <c r="I5" s="37" t="s">
        <v>98</v>
      </c>
    </row>
    <row r="6" s="1" customFormat="1" ht="35" customHeight="1" spans="1:8">
      <c r="A6" s="17" t="s">
        <v>2</v>
      </c>
      <c r="B6" s="18" t="s">
        <v>37</v>
      </c>
      <c r="C6" s="18"/>
      <c r="D6" s="18"/>
      <c r="E6" s="18"/>
      <c r="F6" s="18"/>
      <c r="G6" s="18"/>
      <c r="H6" s="18"/>
    </row>
    <row r="7" s="1" customFormat="1" ht="35" customHeight="1" spans="1:8">
      <c r="A7" s="17" t="s">
        <v>3</v>
      </c>
      <c r="B7" s="18" t="s">
        <v>40</v>
      </c>
      <c r="C7" s="18"/>
      <c r="D7" s="18"/>
      <c r="E7" s="18"/>
      <c r="F7" s="17" t="s">
        <v>10</v>
      </c>
      <c r="G7" s="17" t="s">
        <v>99</v>
      </c>
      <c r="H7" s="17"/>
    </row>
    <row r="8" s="1" customFormat="1" ht="35" customHeight="1" spans="1:18">
      <c r="A8" s="17" t="s">
        <v>5</v>
      </c>
      <c r="B8" s="18" t="s">
        <v>44</v>
      </c>
      <c r="C8" s="18"/>
      <c r="D8" s="18"/>
      <c r="E8" s="18"/>
      <c r="F8" s="17" t="s">
        <v>100</v>
      </c>
      <c r="G8" s="17" t="s">
        <v>46</v>
      </c>
      <c r="H8" s="17"/>
      <c r="K8" s="38"/>
      <c r="L8" s="38"/>
      <c r="M8" s="38"/>
      <c r="N8" s="38"/>
      <c r="O8" s="38"/>
      <c r="P8" s="38"/>
      <c r="Q8" s="38"/>
      <c r="R8" s="38"/>
    </row>
    <row r="9" s="1" customFormat="1" ht="35" customHeight="1" spans="1:18">
      <c r="A9" s="17" t="s">
        <v>4</v>
      </c>
      <c r="B9" s="18" t="s">
        <v>40</v>
      </c>
      <c r="C9" s="18"/>
      <c r="D9" s="18"/>
      <c r="E9" s="18"/>
      <c r="F9" s="17" t="s">
        <v>101</v>
      </c>
      <c r="G9" s="17" t="s">
        <v>102</v>
      </c>
      <c r="H9" s="17"/>
      <c r="K9" s="39"/>
      <c r="L9" s="40"/>
      <c r="M9" s="39"/>
      <c r="N9" s="39"/>
      <c r="O9" s="39"/>
      <c r="P9" s="39"/>
      <c r="Q9" s="39"/>
      <c r="R9" s="39"/>
    </row>
    <row r="10" s="1" customFormat="1" ht="35" customHeight="1" spans="1:8">
      <c r="A10" s="17" t="s">
        <v>64</v>
      </c>
      <c r="B10" s="18" t="s">
        <v>103</v>
      </c>
      <c r="C10" s="18"/>
      <c r="D10" s="18"/>
      <c r="E10" s="18"/>
      <c r="F10" s="17" t="s">
        <v>104</v>
      </c>
      <c r="G10" s="19">
        <v>44318</v>
      </c>
      <c r="H10" s="19"/>
    </row>
    <row r="11" s="1" customFormat="1" ht="35" customHeight="1" spans="1:8">
      <c r="A11" s="17" t="s">
        <v>61</v>
      </c>
      <c r="B11" s="18" t="s">
        <v>105</v>
      </c>
      <c r="C11" s="18"/>
      <c r="D11" s="18"/>
      <c r="E11" s="18"/>
      <c r="F11" s="17" t="s">
        <v>55</v>
      </c>
      <c r="G11" s="19">
        <v>44346</v>
      </c>
      <c r="H11" s="19"/>
    </row>
    <row r="12" s="1" customFormat="1" ht="35" customHeight="1" spans="1:8">
      <c r="A12" s="17" t="s">
        <v>106</v>
      </c>
      <c r="B12" s="18" t="s">
        <v>107</v>
      </c>
      <c r="C12" s="18"/>
      <c r="D12" s="18"/>
      <c r="E12" s="18"/>
      <c r="F12" s="17" t="s">
        <v>56</v>
      </c>
      <c r="G12" s="19">
        <v>44346</v>
      </c>
      <c r="H12" s="19"/>
    </row>
    <row r="13" s="1" customFormat="1" ht="35" customHeight="1" spans="1:8">
      <c r="A13" s="17" t="s">
        <v>65</v>
      </c>
      <c r="B13" s="18" t="s">
        <v>108</v>
      </c>
      <c r="C13" s="18"/>
      <c r="D13" s="18"/>
      <c r="E13" s="18"/>
      <c r="F13" s="17" t="s">
        <v>57</v>
      </c>
      <c r="G13" s="19">
        <v>44347</v>
      </c>
      <c r="H13" s="19"/>
    </row>
    <row r="14" s="1" customFormat="1" ht="35" customHeight="1" spans="1:8">
      <c r="A14" s="17" t="s">
        <v>109</v>
      </c>
      <c r="B14" s="18" t="s">
        <v>110</v>
      </c>
      <c r="C14" s="18"/>
      <c r="D14" s="18"/>
      <c r="E14" s="18"/>
      <c r="F14" s="18"/>
      <c r="G14" s="18"/>
      <c r="H14" s="18"/>
    </row>
    <row r="15" s="1" customFormat="1" ht="35" customHeight="1" spans="1:8">
      <c r="A15" s="17" t="s">
        <v>111</v>
      </c>
      <c r="B15" s="18" t="s">
        <v>112</v>
      </c>
      <c r="C15" s="18"/>
      <c r="D15" s="18"/>
      <c r="E15" s="18"/>
      <c r="F15" s="18"/>
      <c r="G15" s="18"/>
      <c r="H15" s="18"/>
    </row>
    <row r="16" s="1" customFormat="1" ht="35" customHeight="1" spans="1:8">
      <c r="A16" s="17" t="s">
        <v>113</v>
      </c>
      <c r="B16" s="17" t="s">
        <v>114</v>
      </c>
      <c r="C16" s="17"/>
      <c r="D16" s="17"/>
      <c r="E16" s="17" t="s">
        <v>115</v>
      </c>
      <c r="F16" s="18" t="s">
        <v>116</v>
      </c>
      <c r="G16" s="17" t="s">
        <v>117</v>
      </c>
      <c r="H16" s="17"/>
    </row>
    <row r="17" s="1" customFormat="1" ht="35" customHeight="1" spans="1:8">
      <c r="A17" s="17">
        <v>1</v>
      </c>
      <c r="B17" s="17" t="s">
        <v>118</v>
      </c>
      <c r="C17" s="17"/>
      <c r="D17" s="17"/>
      <c r="E17" s="20">
        <v>174.3</v>
      </c>
      <c r="F17" s="20">
        <f t="shared" ref="F17:F19" si="0">IF(E17&lt;&gt;"",E17*1000/10^4*0.95,"")</f>
        <v>16.5585</v>
      </c>
      <c r="G17" s="21">
        <f>IF(OR(F17&lt;&gt;"",F18&lt;&gt;"",F19&lt;&gt;""),ROUND(AVERAGE(F17:F19),1),"")</f>
        <v>18</v>
      </c>
      <c r="H17" s="22"/>
    </row>
    <row r="18" s="1" customFormat="1" ht="35" customHeight="1" spans="1:8">
      <c r="A18" s="17">
        <v>2</v>
      </c>
      <c r="B18" s="17" t="s">
        <v>118</v>
      </c>
      <c r="C18" s="17"/>
      <c r="D18" s="17"/>
      <c r="E18" s="20">
        <v>192.5</v>
      </c>
      <c r="F18" s="20">
        <f t="shared" si="0"/>
        <v>18.2875</v>
      </c>
      <c r="G18" s="23"/>
      <c r="H18" s="24"/>
    </row>
    <row r="19" s="1" customFormat="1" ht="35" customHeight="1" spans="1:8">
      <c r="A19" s="17">
        <v>3</v>
      </c>
      <c r="B19" s="17" t="s">
        <v>118</v>
      </c>
      <c r="C19" s="17"/>
      <c r="D19" s="17"/>
      <c r="E19" s="20">
        <v>202.3</v>
      </c>
      <c r="F19" s="20">
        <f t="shared" si="0"/>
        <v>19.2185</v>
      </c>
      <c r="G19" s="25"/>
      <c r="H19" s="26"/>
    </row>
    <row r="20" s="1" customFormat="1" ht="35" customHeight="1" spans="1:8">
      <c r="A20" s="17" t="s">
        <v>11</v>
      </c>
      <c r="B20" s="18" t="s">
        <v>119</v>
      </c>
      <c r="C20" s="18"/>
      <c r="D20" s="18"/>
      <c r="E20" s="18"/>
      <c r="F20" s="18"/>
      <c r="G20" s="18"/>
      <c r="H20" s="18"/>
    </row>
    <row r="21" s="1" customFormat="1" ht="57" customHeight="1" spans="1:8">
      <c r="A21" s="27" t="s">
        <v>120</v>
      </c>
      <c r="B21" s="28" t="s">
        <v>121</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122</v>
      </c>
      <c r="B23" s="34"/>
      <c r="C23" s="34"/>
      <c r="D23" s="35" t="s">
        <v>123</v>
      </c>
      <c r="E23" s="35"/>
      <c r="F23" s="36"/>
      <c r="G23" s="36" t="s">
        <v>124</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委托单位信息</vt:lpstr>
      <vt:lpstr>委托单</vt:lpstr>
      <vt:lpstr>石材抗压强度检测报告</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2021-06-22T09:08:00Z</dcterms:created>
  <dcterms:modified xsi:type="dcterms:W3CDTF">2021-08-03T06:17:38Z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D207C1D529A14C2E93A45200B02E77F6</vt:lpwstr>
  </property>
  <property fmtid="{D5CDD505-2E9C-101B-9397-08002B2CF9AE}" pid="3" name="KSOProductBuildVer">
    <vt:lpwstr>2052-11.1.0.10667</vt:lpwstr>
  </property>
</Properties>
</file>