
<file path=[Content_Types].xml><?xml version="1.0" encoding="utf-8"?>
<Types xmlns="http://schemas.openxmlformats.org/package/2006/content-types">
  <Default Extension="vml" ContentType="application/vnd.openxmlformats-officedocument.vmlDrawing"/>
  <Default Extension="wmf" ContentType="image/x-wmf"/>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10.bin" ContentType="application/vnd.ms-office.activeX"/>
  <Override PartName="/xl/activeX/activeX10.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activeX/activeX5.bin" ContentType="application/vnd.ms-office.activeX"/>
  <Override PartName="/xl/activeX/activeX5.xml" ContentType="application/vnd.ms-office.activeX+xml"/>
  <Override PartName="/xl/activeX/activeX6.bin" ContentType="application/vnd.ms-office.activeX"/>
  <Override PartName="/xl/activeX/activeX6.xml" ContentType="application/vnd.ms-office.activeX+xml"/>
  <Override PartName="/xl/activeX/activeX7.bin" ContentType="application/vnd.ms-office.activeX"/>
  <Override PartName="/xl/activeX/activeX7.xml" ContentType="application/vnd.ms-office.activeX+xml"/>
  <Override PartName="/xl/activeX/activeX8.bin" ContentType="application/vnd.ms-office.activeX"/>
  <Override PartName="/xl/activeX/activeX8.xml" ContentType="application/vnd.ms-office.activeX+xml"/>
  <Override PartName="/xl/activeX/activeX9.bin" ContentType="application/vnd.ms-office.activeX"/>
  <Override PartName="/xl/activeX/activeX9.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540" activeTab="2"/>
  </bookViews>
  <sheets>
    <sheet name="送检单位信息" sheetId="8" r:id="rId1"/>
    <sheet name="砂子原始记录（新）" sheetId="5" r:id="rId2"/>
    <sheet name="砂子检测报告" sheetId="2" r:id="rId3"/>
  </sheets>
  <externalReferences>
    <externalReference r:id="rId4"/>
    <externalReference r:id="rId5"/>
  </externalReferences>
  <definedNames>
    <definedName name="_xlnm._FilterDatabase" localSheetId="0" hidden="1">送检单位信息!$A$3:$K$148</definedName>
    <definedName name="_xlnm.Print_Area" localSheetId="2">砂子检测报告!$A$1:$I$35</definedName>
    <definedName name="_xlnm.Print_Area" localSheetId="1">'砂子原始记录（新）'!$A$1:$M$59</definedName>
    <definedName name="检测类型">[2]辅助计算表!$C$2:$U$2</definedName>
    <definedName name="混凝土抗压强度检测">[2]辅助计算表!$C$3:$C$180</definedName>
    <definedName name="砂浆抗压强度检测">[2]辅助计算表!$D$3:$D$180</definedName>
    <definedName name="混凝土配合比检测">[2]辅助计算表!$E$3:$E$180</definedName>
    <definedName name="砂浆配合比检测">[2]辅助计算表!$F$3:$F$180</definedName>
    <definedName name="砂料检测">[2]辅助计算表!$G$3:$G$180</definedName>
    <definedName name="碎石检测">[2]辅助计算表!$H$3:$H$180</definedName>
    <definedName name="水泥检测">[2]辅助计算表!$I$3:$I$180</definedName>
    <definedName name="钢筋检测">[2]辅助计算表!$J$3:$J$180</definedName>
    <definedName name="钢筋接头检测">[2]辅助计算表!$K$3:$K$180</definedName>
    <definedName name="砌体材料检测">[2]辅助计算表!$L$3:$L$181</definedName>
    <definedName name="实体检测">[2]辅助计算表!$M$3:$M$180</definedName>
    <definedName name="地基基础检测">[2]辅助计算表!$N$3:$N$180</definedName>
    <definedName name="路基检测">[2]辅助计算表!$O$3:$O$180</definedName>
    <definedName name="建筑节能检测">[2]辅助计算表!$P$3:$P$180</definedName>
    <definedName name="管线检测">[2]辅助计算表!$Q$3:$Q$180</definedName>
    <definedName name="防水卷材">[2]辅助计算表!$R$3:$R$180</definedName>
    <definedName name="混凝土抗渗检测">[2]辅助计算表!$S$3:$S$180</definedName>
    <definedName name="项目类别">[1]子目!$I$3:$J$3</definedName>
    <definedName name="固定资产">[1]子目!$I$4:$I$19</definedName>
    <definedName name="运营支出">[1]子目!$J$4:$J$190</definedName>
    <definedName name="网费">[1]子目!$K$4:$K$19</definedName>
    <definedName name="差旅费">[1]子目!$L$4:$L$19</definedName>
    <definedName name="接待费">[1]子目!$M$4:$M$19</definedName>
    <definedName name="人工费">[1]子目!$N$4:$N$19</definedName>
    <definedName name="材料费">[1]子目!$O$4:$O$19</definedName>
    <definedName name="维护费">[1]子目!$P$4:$P$19</definedName>
  </definedNames>
  <calcPr calcId="144525"/>
</workbook>
</file>

<file path=xl/comments1.xml><?xml version="1.0" encoding="utf-8"?>
<comments xmlns="http://schemas.openxmlformats.org/spreadsheetml/2006/main">
  <authors>
    <author>Administrator</author>
    <author>宋体</author>
  </authors>
  <commentList>
    <comment ref="E12" authorId="0">
      <text>
        <r>
          <rPr>
            <sz val="9"/>
            <rFont val="宋体"/>
            <charset val="134"/>
          </rPr>
          <t>Administrator:
水利局</t>
        </r>
      </text>
    </comment>
    <comment ref="E31" authorId="1">
      <text>
        <r>
          <rPr>
            <sz val="9"/>
            <rFont val="宋体"/>
            <charset val="134"/>
          </rPr>
          <t>Administrator:
水利局</t>
        </r>
      </text>
    </comment>
    <comment ref="E86" authorId="0">
      <text>
        <r>
          <rPr>
            <b/>
            <sz val="9"/>
            <rFont val="宋体"/>
            <charset val="134"/>
          </rPr>
          <t>Administrator:</t>
        </r>
        <r>
          <rPr>
            <sz val="9"/>
            <rFont val="宋体"/>
            <charset val="134"/>
          </rPr>
          <t xml:space="preserve">
权燎</t>
        </r>
      </text>
    </comment>
  </commentList>
</comments>
</file>

<file path=xl/comments2.xml><?xml version="1.0" encoding="utf-8"?>
<comments xmlns="http://schemas.openxmlformats.org/spreadsheetml/2006/main">
  <authors>
    <author>Administrator</author>
  </authors>
  <commentList>
    <comment ref="E56" authorId="0">
      <text>
        <r>
          <rPr>
            <b/>
            <sz val="9"/>
            <rFont val="宋体"/>
            <charset val="134"/>
          </rPr>
          <t>Administrator:</t>
        </r>
        <r>
          <rPr>
            <sz val="9"/>
            <rFont val="宋体"/>
            <charset val="134"/>
          </rPr>
          <t xml:space="preserve">
遗失量不超过：500*1%=5g
</t>
        </r>
      </text>
    </comment>
    <comment ref="I56" authorId="0">
      <text>
        <r>
          <rPr>
            <b/>
            <sz val="9"/>
            <rFont val="宋体"/>
            <charset val="134"/>
          </rPr>
          <t>Administrator:</t>
        </r>
        <r>
          <rPr>
            <sz val="9"/>
            <rFont val="宋体"/>
            <charset val="134"/>
          </rPr>
          <t xml:space="preserve">
遗失量不超过：500*1%=5g</t>
        </r>
      </text>
    </comment>
  </commentList>
</comments>
</file>

<file path=xl/sharedStrings.xml><?xml version="1.0" encoding="utf-8"?>
<sst xmlns="http://schemas.openxmlformats.org/spreadsheetml/2006/main" count="1628" uniqueCount="847">
  <si>
    <t>送检单位信息</t>
  </si>
  <si>
    <t>项目编号</t>
  </si>
  <si>
    <t>委托信息</t>
  </si>
  <si>
    <t>工程名称</t>
  </si>
  <si>
    <t>委托单位</t>
  </si>
  <si>
    <t>委托类型</t>
  </si>
  <si>
    <t>送检人</t>
  </si>
  <si>
    <t>送检人电话</t>
  </si>
  <si>
    <t>见证单位</t>
  </si>
  <si>
    <t>见证人</t>
  </si>
  <si>
    <t>见证人编号</t>
  </si>
  <si>
    <t>见证人电话</t>
  </si>
  <si>
    <t>施工单位</t>
  </si>
  <si>
    <t>XW001</t>
  </si>
  <si>
    <t>兴文县僰王山镇卫生院新建综合楼建设项目</t>
  </si>
  <si>
    <t>兴文县鲵源建设工程有限公司</t>
  </si>
  <si>
    <t>有见证取样送检</t>
  </si>
  <si>
    <t>梁刚</t>
  </si>
  <si>
    <t>宜宾道和工程项目管理有限公司</t>
  </si>
  <si>
    <t>贾静</t>
  </si>
  <si>
    <t>—</t>
  </si>
  <si>
    <t>XW002</t>
  </si>
  <si>
    <t>兴文县大坝苗族乡中心幼儿园扩建项目</t>
  </si>
  <si>
    <t>四川鹏文建筑工程有限公司</t>
  </si>
  <si>
    <t>文彬</t>
  </si>
  <si>
    <t>宇筑工程管理有限公司</t>
  </si>
  <si>
    <t>邓荣</t>
  </si>
  <si>
    <t>XW003</t>
  </si>
  <si>
    <t>兴文县高铁新区生活污水处理厂及配套管网一期工程</t>
  </si>
  <si>
    <t>拓安建设集团有限公司</t>
  </si>
  <si>
    <t>王俊详</t>
  </si>
  <si>
    <t>四川四强建设项目管理有限公司</t>
  </si>
  <si>
    <t>曾德强</t>
  </si>
  <si>
    <t>XW004</t>
  </si>
  <si>
    <t>宜宾市兴文县2017年中央和省级水利发展专项资金农田水利建设及农业水利综合改革项目共乐镇毛村节水型社会建设项目</t>
  </si>
  <si>
    <t>四川乾煜建设工程有限公司</t>
  </si>
  <si>
    <t>无见证取样送检</t>
  </si>
  <si>
    <t>陈剑</t>
  </si>
  <si>
    <t>四川一永工程管理有限公司</t>
  </si>
  <si>
    <t>XW005</t>
  </si>
  <si>
    <t>兴文县太平镇2017年省级债券资金小型水利工程项目</t>
  </si>
  <si>
    <t>宜宾市宏展建筑工程有限公司</t>
  </si>
  <si>
    <t>康雨舟</t>
  </si>
  <si>
    <t>四川尚金建设项目管理有限公司</t>
  </si>
  <si>
    <t>张国顺</t>
  </si>
  <si>
    <t>XW006</t>
  </si>
  <si>
    <t>太阳一大寨区块龙马溪组8亿方浅层页岩气地面建设工程</t>
  </si>
  <si>
    <t>四川石油天然气建设工程有限责任公司</t>
  </si>
  <si>
    <t>金鑫</t>
  </si>
  <si>
    <t>大庆油田工程项目管理有限公司浙江油田产能建设项目部</t>
  </si>
  <si>
    <t>董学民</t>
  </si>
  <si>
    <t>XW007</t>
  </si>
  <si>
    <t>香山中学民族艺术教育综合楼</t>
  </si>
  <si>
    <t>四川成来建设工程有限公司</t>
  </si>
  <si>
    <t>罗小均</t>
  </si>
  <si>
    <t>XW008</t>
  </si>
  <si>
    <t>僰王山晏江河堤治理</t>
  </si>
  <si>
    <t>张浩</t>
  </si>
  <si>
    <t>XW009</t>
  </si>
  <si>
    <t>兴文县综合档案馆县级就业和社会保障服务中心环保监测执法业务用房工人文化宫职工活动阵地</t>
  </si>
  <si>
    <t>四川鲁工建设工程有限责任公司</t>
  </si>
  <si>
    <t>XW0010</t>
  </si>
  <si>
    <t>金山至光明10KV线路新建工程</t>
  </si>
  <si>
    <t>四川能投建工集团有限公司</t>
  </si>
  <si>
    <t>江玉林</t>
  </si>
  <si>
    <t>首盛建设集团有限公司</t>
  </si>
  <si>
    <t>陈礼明</t>
  </si>
  <si>
    <t>XW0011</t>
  </si>
  <si>
    <t>兴文县大河苗族乡中心校迁建工程</t>
  </si>
  <si>
    <t>兴文县大河苗族乡金鹅民族小学校</t>
  </si>
  <si>
    <t>陶忠智</t>
  </si>
  <si>
    <t>四川省精湛建设项目管理有限公司</t>
  </si>
  <si>
    <t>孙学飞</t>
  </si>
  <si>
    <t>XW0012</t>
  </si>
  <si>
    <t>兴文县石海镇红鱼学校教师周转房</t>
  </si>
  <si>
    <t>兴文县石海镇红鱼学校</t>
  </si>
  <si>
    <t>高和亚</t>
  </si>
  <si>
    <t>四川三三一工程项目管理服务有限公司</t>
  </si>
  <si>
    <t>陈于强</t>
  </si>
  <si>
    <t>XW0013</t>
  </si>
  <si>
    <t>兴文县古宋镇和平小学附属园改建项目</t>
  </si>
  <si>
    <t>兴文县古宋镇和平小学校</t>
  </si>
  <si>
    <t>曾树良</t>
  </si>
  <si>
    <t>熊惺惺</t>
  </si>
  <si>
    <t>XW0014</t>
  </si>
  <si>
    <t>九丝德胜小学教师周转房</t>
  </si>
  <si>
    <t>XW0015</t>
  </si>
  <si>
    <t>宁233井钻前工程</t>
  </si>
  <si>
    <t>蜀渝自贡项目部</t>
  </si>
  <si>
    <t>蒋强</t>
  </si>
  <si>
    <t>四川众辉项目管理有限公司</t>
  </si>
  <si>
    <t>周奇</t>
  </si>
  <si>
    <t>XW0016</t>
  </si>
  <si>
    <t>兴文县工业园区 5 号路和 6 号路建设项目一期工程（5 号路通达物流北侧段）建设工程</t>
  </si>
  <si>
    <t>兴文县太平实业开发有限责任公司</t>
  </si>
  <si>
    <t>XW0017</t>
  </si>
  <si>
    <t>兴文县麒麟苗族乡大地村3组凉水洞滑坡治理工程</t>
  </si>
  <si>
    <t>兴文县自然资源和规划局</t>
  </si>
  <si>
    <t>何震宇</t>
  </si>
  <si>
    <t>四川省美地佳源实业有限公司</t>
  </si>
  <si>
    <t>宋伟</t>
  </si>
  <si>
    <t>XW0018</t>
  </si>
  <si>
    <t>兴文县2019高标准农田建设项目（中心村标段)</t>
  </si>
  <si>
    <t>四川嘉格建设工程有限公司</t>
  </si>
  <si>
    <t>邬中福</t>
  </si>
  <si>
    <t>XW0019</t>
  </si>
  <si>
    <t>兴文县十三五脱贫攻坚水利扶贫建设项目 —2019年度乡镇水窖及管道工程</t>
  </si>
  <si>
    <t>兴文县石海水务有限责任公司</t>
  </si>
  <si>
    <t>王波</t>
  </si>
  <si>
    <t>XW0020</t>
  </si>
  <si>
    <t>兴文县“十三五”脱贫攻坚水利扶贫建设项目——2019年度大河苗族乡水窖及管道工程</t>
  </si>
  <si>
    <t>兴文县大河苗族乡人民政府</t>
  </si>
  <si>
    <t>李秋</t>
  </si>
  <si>
    <t>XW0021</t>
  </si>
  <si>
    <t>兴文县麒麟苗族乡双河村9组岩湾滑坡治理工程</t>
  </si>
  <si>
    <t>XW0022</t>
  </si>
  <si>
    <t>兴文县麒麟苗族乡龙泉村、新民村、中华村、大地村实体检测</t>
  </si>
  <si>
    <t>XW0023</t>
  </si>
  <si>
    <t>兴文县2019年高标准农田建设项目五星镇踏水桥村标段</t>
  </si>
  <si>
    <t xml:space="preserve"> 四川凯天祺建设工程有限公司</t>
  </si>
  <si>
    <t>陈从文</t>
  </si>
  <si>
    <t>XW0024</t>
  </si>
  <si>
    <t>兴文县石海镇大雪村村级党群服务中心建设项目</t>
  </si>
  <si>
    <t>XW0025</t>
  </si>
  <si>
    <t>中华苑检测</t>
  </si>
  <si>
    <t>曹雪</t>
  </si>
  <si>
    <t>XW0026</t>
  </si>
  <si>
    <t>兴文县大坝苗族乡2019年度水窖管网补短板项目工程</t>
  </si>
  <si>
    <t>四川兰索建设工程有限公司</t>
  </si>
  <si>
    <t>周讯</t>
  </si>
  <si>
    <t>XW0027</t>
  </si>
  <si>
    <t>古宋镇桃子坪供水巩固提升工程</t>
  </si>
  <si>
    <t>XW0028</t>
  </si>
  <si>
    <t>马栏湾东通道市政基础设施建设项目</t>
  </si>
  <si>
    <t>兴文县住房城乡建设和城镇管理局</t>
  </si>
  <si>
    <t>王锦平</t>
  </si>
  <si>
    <t>成都晨越建设项目管理股份有限公司</t>
  </si>
  <si>
    <t>XW0029</t>
  </si>
  <si>
    <t>四川兴文德康15000头种猪场</t>
  </si>
  <si>
    <t>兴文德康畜牧有限公司</t>
  </si>
  <si>
    <t>陈硕</t>
  </si>
  <si>
    <t>江苏华丽智能科技有限公司</t>
  </si>
  <si>
    <t>刘宏波</t>
  </si>
  <si>
    <t>XW0030</t>
  </si>
  <si>
    <t>委托检测</t>
  </si>
  <si>
    <t>兴文县梓丞免烧砖厂</t>
  </si>
  <si>
    <t>XW0031</t>
  </si>
  <si>
    <t>四川衡信建设项目管理有限公司</t>
  </si>
  <si>
    <t>XW0032</t>
  </si>
  <si>
    <t>兴文县长寿锦城建设项目</t>
  </si>
  <si>
    <t>兴文东燊房地产开发有责任公司</t>
  </si>
  <si>
    <t>陈宇</t>
  </si>
  <si>
    <t>中新凯瑞咨询有限公司</t>
  </si>
  <si>
    <t>李中华</t>
  </si>
  <si>
    <t>兴文县鼎立建筑工程有限公司</t>
  </si>
  <si>
    <t>XW0033</t>
  </si>
  <si>
    <t>莲花镇高点村农村道路建设</t>
  </si>
  <si>
    <t>四川慧鑫隆建筑工程有限公司</t>
  </si>
  <si>
    <t>李正华</t>
  </si>
  <si>
    <t>XW0034</t>
  </si>
  <si>
    <t>兴文县阳光东方府项目</t>
  </si>
  <si>
    <t>雷长波</t>
  </si>
  <si>
    <t>四川建工程项目管理有限公司</t>
  </si>
  <si>
    <t>吴雄</t>
  </si>
  <si>
    <t>XW0035</t>
  </si>
  <si>
    <t>兴文县僰王山镇2019年高标准农田建设项目（中棉、九角标段）</t>
  </si>
  <si>
    <t>四川省瓴正建设工程有限公司</t>
  </si>
  <si>
    <t>张川</t>
  </si>
  <si>
    <t>川南众合集团有限公司</t>
  </si>
  <si>
    <t>XW0036</t>
  </si>
  <si>
    <t>兴文香山锦绣商住小区工程（1号楼、2号楼）</t>
  </si>
  <si>
    <t>兴文县第二建筑工程有限责任公司</t>
  </si>
  <si>
    <t>吴鹏</t>
  </si>
  <si>
    <t>江阳建设集团有限公司</t>
  </si>
  <si>
    <t>黄小龙</t>
  </si>
  <si>
    <t>XW0037</t>
  </si>
  <si>
    <t>兴文县2019高标准农田建设项目（东龙泉村标段)</t>
  </si>
  <si>
    <t>四川瓴正建设工程有限公司</t>
  </si>
  <si>
    <t>李加平</t>
  </si>
  <si>
    <t>瓴正建设工程有限公司</t>
  </si>
  <si>
    <t>XW0038</t>
  </si>
  <si>
    <t>共乐镇新阳村小型水利项目</t>
  </si>
  <si>
    <t>兴文县共乐镇水务站</t>
  </si>
  <si>
    <t>李吉刚</t>
  </si>
  <si>
    <t>毛一</t>
  </si>
  <si>
    <t>四川蜀都苑建设工程有限公司</t>
  </si>
  <si>
    <t>XW0039</t>
  </si>
  <si>
    <t>兴文县僰王山镇2019年高标准农田建设项目（同尧标段）</t>
  </si>
  <si>
    <t>宜宾兴鑫隆建筑工程有限公司</t>
  </si>
  <si>
    <t>刘勇</t>
  </si>
  <si>
    <t>万锦建设集团有限公司</t>
  </si>
  <si>
    <t>XW0040</t>
  </si>
  <si>
    <t>兴文县2017年中央财政水利发展专项资金农业水价综合改革和维修养护项目</t>
  </si>
  <si>
    <t>兴文县石海水利水电建筑工程有限公司</t>
  </si>
  <si>
    <t>陈有亮</t>
  </si>
  <si>
    <t>兴文县水务局</t>
  </si>
  <si>
    <t>赵思臻</t>
  </si>
  <si>
    <t>XW0041</t>
  </si>
  <si>
    <t>长宁209东区输气管道工程</t>
  </si>
  <si>
    <t>四川油建长宁页岩气项目部</t>
  </si>
  <si>
    <t>赵强</t>
  </si>
  <si>
    <t>四川众辉项目管理咨询有限公司</t>
  </si>
  <si>
    <t>朱晓林</t>
  </si>
  <si>
    <t>XW0042</t>
  </si>
  <si>
    <t>万寿小学体育保管室及楼梯间增设</t>
  </si>
  <si>
    <t>兴文县教育和体育局</t>
  </si>
  <si>
    <t>XW0043</t>
  </si>
  <si>
    <t>兴文县僰王山镇博泸小学教师周转房工程</t>
  </si>
  <si>
    <t>博泸小学</t>
  </si>
  <si>
    <t>XW0044</t>
  </si>
  <si>
    <t>纳黔高速公路江门互通至兴文石海景区一级公路（光明新城至宜叙高速公路兴文石海互通段）景观提升工程</t>
  </si>
  <si>
    <t>宜宾建功路桥建设有限公司</t>
  </si>
  <si>
    <t>熊芸浩</t>
  </si>
  <si>
    <t>宜宾戎坤工程管理咨询有限公司</t>
  </si>
  <si>
    <t>李建宏</t>
  </si>
  <si>
    <t>XW0045</t>
  </si>
  <si>
    <t>兴文县仙峰苗族乡高山好村8组大地头崩塌排危除险项目</t>
  </si>
  <si>
    <t>四川煤田一四一建设投资有限公司</t>
  </si>
  <si>
    <t>姚明松</t>
  </si>
  <si>
    <t>XW0046</t>
  </si>
  <si>
    <t>宜宾市兴文县古宋镇马石沟村6组长排不稳定斜坡等3处排危除险项目</t>
  </si>
  <si>
    <t>刘朝德</t>
  </si>
  <si>
    <t>重庆亚太工程建设管理有限公司</t>
  </si>
  <si>
    <t>李 骏</t>
  </si>
  <si>
    <t>XW0047</t>
  </si>
  <si>
    <t>宜宾长宁“6.17”地震灾后恢复重建项目（S444线兴文县仙峰乡至珙县沐滩镇段）工程项目</t>
  </si>
  <si>
    <t>徐刚</t>
  </si>
  <si>
    <t>中旺建工集团有限公司</t>
  </si>
  <si>
    <t>刘少林</t>
  </si>
  <si>
    <t>XW0048</t>
  </si>
  <si>
    <t>委托检测（砂石）</t>
  </si>
  <si>
    <t>兴文鸿运盛矿业有限责任公司</t>
  </si>
  <si>
    <t>XW0049</t>
  </si>
  <si>
    <t>新坝水库渠系工程1，3标段</t>
  </si>
  <si>
    <t>XW0050</t>
  </si>
  <si>
    <t>兴文县莲花幼儿园环创升级工程</t>
  </si>
  <si>
    <t>四川凯天祺建设工程有限公司</t>
  </si>
  <si>
    <t>朱飞</t>
  </si>
  <si>
    <t>四川万峰建设工程项目管理有限公司</t>
  </si>
  <si>
    <t>罗锐</t>
  </si>
  <si>
    <t>XW0051</t>
  </si>
  <si>
    <t>兴文县太平幼儿园环创升级工程</t>
  </si>
  <si>
    <t>宜宾兴鑫隆建设工程有限公司</t>
  </si>
  <si>
    <t>成都四方建设工程项目管理有限公司</t>
  </si>
  <si>
    <t>XW0052</t>
  </si>
  <si>
    <t>兴文县东风水库引水渠整治工程</t>
  </si>
  <si>
    <t>四川同达建设工程有限公司</t>
  </si>
  <si>
    <t>贺帅</t>
  </si>
  <si>
    <t>139892277132</t>
  </si>
  <si>
    <t>中鸿亿博集团有限公司</t>
  </si>
  <si>
    <t>XW0053</t>
  </si>
  <si>
    <t>兴文县新型墙材办公室及厂房建设项目</t>
  </si>
  <si>
    <t>四川创发建设集团有限公司</t>
  </si>
  <si>
    <t>余超</t>
  </si>
  <si>
    <t>宜宾创发永固新型墙材有限公司</t>
  </si>
  <si>
    <t>赵正林</t>
  </si>
  <si>
    <t>XW0054</t>
  </si>
  <si>
    <t>兴文县古宋镇柏香湾村2组苗城印象后山危岩带治理工程</t>
  </si>
  <si>
    <t>四川省地质矿产勘查开发局成都水文地质工程地质中心</t>
  </si>
  <si>
    <t>张志强</t>
  </si>
  <si>
    <t>新疆地质工程公司</t>
  </si>
  <si>
    <t>XW0055</t>
  </si>
  <si>
    <t>四川兴文·万汇国际商贸城项目（一期）</t>
  </si>
  <si>
    <t>四川新翰投资有限责任公司</t>
  </si>
  <si>
    <t>肖声</t>
  </si>
  <si>
    <t>四川三誉工程项目管理有限公司</t>
  </si>
  <si>
    <t>叶震</t>
  </si>
  <si>
    <t>中建一局集团装饰工程有限公司</t>
  </si>
  <si>
    <t>XW0056</t>
  </si>
  <si>
    <t>江安县五矿镇陈燃石材加工厂</t>
  </si>
  <si>
    <t>XW0057</t>
  </si>
  <si>
    <t>预制钢筋混凝土排水管</t>
  </si>
  <si>
    <t>兴文县合恒砼业有限责任公司</t>
  </si>
  <si>
    <t>万敏</t>
  </si>
  <si>
    <t>XW0058</t>
  </si>
  <si>
    <t>古宋镇小河村村公所村党群服务中心综合楼</t>
  </si>
  <si>
    <t>XW0059</t>
  </si>
  <si>
    <t>兴文县大旗煤业轨道平台及翻车机房工程</t>
  </si>
  <si>
    <t>武国奎</t>
  </si>
  <si>
    <t>河南工程咨询监理有限公司</t>
  </si>
  <si>
    <t>席立群</t>
  </si>
  <si>
    <t>XW0060</t>
  </si>
  <si>
    <t>兴文县仙峰苗族乡康养小木屋工程</t>
  </si>
  <si>
    <t>宜宾市蜀南文旅云峰旅游有限公司</t>
  </si>
  <si>
    <t>黄小波</t>
  </si>
  <si>
    <t>马炅</t>
  </si>
  <si>
    <t>兴文县境鑫园林工程有限公司</t>
  </si>
  <si>
    <t>XW0061</t>
  </si>
  <si>
    <t>兴文县高标准农田仙峰片区</t>
  </si>
  <si>
    <t>陶世伟</t>
  </si>
  <si>
    <t>黄果</t>
  </si>
  <si>
    <t>XW0062</t>
  </si>
  <si>
    <t>兴文县2020年高标准农田建设项目东阳片区一标段（凉水湾乡村振兴示范区）</t>
  </si>
  <si>
    <t>黄川</t>
  </si>
  <si>
    <t>四川兢业工程项目管理有限公司</t>
  </si>
  <si>
    <t>XW0063</t>
  </si>
  <si>
    <t xml:space="preserve">兴文县“十三五”脱贫攻坚扶贫建设项目——古宋镇山洪沟治理及水源整治工程项目  </t>
  </si>
  <si>
    <t>李志明</t>
  </si>
  <si>
    <t>四川三信建设咨询有限公司</t>
  </si>
  <si>
    <t>XW0064</t>
  </si>
  <si>
    <t>僰王山接待服务基地--世界地质科普教育和国际青年夏令营基地项目僰王山加固标段</t>
  </si>
  <si>
    <t>四川省兴文石海天下奇文化旅游投资有限责任公司</t>
  </si>
  <si>
    <t>任宗奎</t>
  </si>
  <si>
    <t>四川良友咨询建设有限公司</t>
  </si>
  <si>
    <t>陈星宇</t>
  </si>
  <si>
    <t>四川省中曜工程管理集团有限公司</t>
  </si>
  <si>
    <t>XW0065</t>
  </si>
  <si>
    <t>2019僰王山镇永寿村高标准农田绿色示范区建设项目一标段</t>
  </si>
  <si>
    <t>兴文僰苗文化旅游有限责任公司</t>
  </si>
  <si>
    <t>邬雨利</t>
  </si>
  <si>
    <t>陈媛媛</t>
  </si>
  <si>
    <t>XW0066</t>
  </si>
  <si>
    <t>兴文县2019年高标准农田建设项目（大河、长征村）标段</t>
  </si>
  <si>
    <t>崔毓强</t>
  </si>
  <si>
    <t>兴文县大河苗族乡长征村村委</t>
  </si>
  <si>
    <t>刘宏彬</t>
  </si>
  <si>
    <t>四川加承建筑工程有限公司</t>
  </si>
  <si>
    <t>XW0067</t>
  </si>
  <si>
    <t>兴文县2019年高标准农田建设项目（东龙泉村）标段</t>
  </si>
  <si>
    <t>李刚</t>
  </si>
  <si>
    <t>兴文县大河苗族乡东龙泉村村委</t>
  </si>
  <si>
    <t>梁光伦</t>
  </si>
  <si>
    <t>XW0068</t>
  </si>
  <si>
    <t>四川东和欣包装科技有限公司食堂宿舍</t>
  </si>
  <si>
    <t>兴文县基远建筑有限责任公司</t>
  </si>
  <si>
    <t>向成举</t>
  </si>
  <si>
    <t>四川东和欣包装科技有限公司</t>
  </si>
  <si>
    <t>童建鸿</t>
  </si>
  <si>
    <t>XW0069</t>
  </si>
  <si>
    <t>聚源免烧砖厂</t>
  </si>
  <si>
    <t>XW0070</t>
  </si>
  <si>
    <t>兴文县十三五水利扶贫过桥贷款项目—僰王山同心集中供水工程</t>
  </si>
  <si>
    <t>兴文县水利局</t>
  </si>
  <si>
    <t>XW0071</t>
  </si>
  <si>
    <t>兴文县2019年度机耕道工程项目</t>
  </si>
  <si>
    <t>四川省烟草公司宜宾市公司兴文分公司</t>
  </si>
  <si>
    <t>肖鸿雁</t>
  </si>
  <si>
    <t>四川大视野建设项目管理有限公司</t>
  </si>
  <si>
    <t>唐运福</t>
  </si>
  <si>
    <t>四川僰海建设工程有限公司</t>
  </si>
  <si>
    <t>XW0072</t>
  </si>
  <si>
    <t>宜宾市“两海”示范区管委会城乡建设用地增减挂钩试点项目石海镇石海村安置点建设项目</t>
  </si>
  <si>
    <t>XW0073</t>
  </si>
  <si>
    <t>兴文县宋河雅居项目1号楼劳务、质量、安全及现场管理等工程</t>
  </si>
  <si>
    <t>XW0074</t>
  </si>
  <si>
    <t>兴文县县城生活污水处理厂配套管网改造修复项目</t>
  </si>
  <si>
    <t>兴文县住房城乡规划建设和城镇管理局</t>
  </si>
  <si>
    <t>谢梦</t>
  </si>
  <si>
    <t>蓝雪飞</t>
  </si>
  <si>
    <t>兴文县城乡建设工程有限责任公司</t>
  </si>
  <si>
    <t>XW0075</t>
  </si>
  <si>
    <t>兴文县生活垃圾处理厂渗滤液处理能力提升改造工程</t>
  </si>
  <si>
    <t>XW0076</t>
  </si>
  <si>
    <t>兴文县PC装配式工艺检测项目</t>
  </si>
  <si>
    <t>宜宾创发住宅工业技术有限公司</t>
  </si>
  <si>
    <t>XW0077</t>
  </si>
  <si>
    <t>宜宾市兴文县景春寓翡翠城1栋1单元川小猫餐饮店</t>
  </si>
  <si>
    <t>曾川南</t>
  </si>
  <si>
    <t>XW0078</t>
  </si>
  <si>
    <t>兴文石海宾馆石材幕墙工程</t>
  </si>
  <si>
    <t>XW0079</t>
  </si>
  <si>
    <t>兴文县“十三五”脱贫攻坚水利扶贫建设项目-僰王山镇飞雾洞集中供水工程</t>
  </si>
  <si>
    <t>姚和庆</t>
  </si>
  <si>
    <t>中国华西工程设计建设有限公司</t>
  </si>
  <si>
    <t>陈光春</t>
  </si>
  <si>
    <t>四川同达建设有限公司</t>
  </si>
  <si>
    <t>XW0080</t>
  </si>
  <si>
    <t>兴文县群鱼硫铁矿有限责任公司尾矿库污染防治</t>
  </si>
  <si>
    <t>兴文县仙峰苗族乡人民政府</t>
  </si>
  <si>
    <t>周忠荣</t>
  </si>
  <si>
    <t>中科标禾工程项目管理有限公司</t>
  </si>
  <si>
    <t>XW0081</t>
  </si>
  <si>
    <t>委托送检</t>
  </si>
  <si>
    <t>兴文县翔威建材销售有限公司</t>
  </si>
  <si>
    <t>潘刚</t>
  </si>
  <si>
    <t>XW0082</t>
  </si>
  <si>
    <t>兴文县“十三五”脱贫攻坚水利扶贫建设项目万丰岩输水渠整治工程</t>
  </si>
  <si>
    <t>王庆</t>
  </si>
  <si>
    <t>四川康立项目管理有限责任公司</t>
  </si>
  <si>
    <t>徽弘建设集团有限公司</t>
  </si>
  <si>
    <t>XW0083</t>
  </si>
  <si>
    <t>芭茅沟水库大坝右岸边坡治理工程</t>
  </si>
  <si>
    <t>栾金龙</t>
  </si>
  <si>
    <t>四川瑞泰项目管理有限公司</t>
  </si>
  <si>
    <t>向文</t>
  </si>
  <si>
    <t>四川洲桥水电工程有限公司</t>
  </si>
  <si>
    <t>XW0084</t>
  </si>
  <si>
    <t>兴文县奋力商贸有限责任公司</t>
  </si>
  <si>
    <t>XW0085</t>
  </si>
  <si>
    <t>四川麒瑞农牧科技有限公司</t>
  </si>
  <si>
    <t>XW0086</t>
  </si>
  <si>
    <t>石海镇大雪村、和平村产业路硬化项目</t>
  </si>
  <si>
    <t>兴文县勤上致远建筑工程有限公司</t>
  </si>
  <si>
    <t>李小秋</t>
  </si>
  <si>
    <t>石海镇经发办</t>
  </si>
  <si>
    <t>刘美华</t>
  </si>
  <si>
    <t>XW0087</t>
  </si>
  <si>
    <t>兴文县宋河雅居项目1#楼及地下</t>
  </si>
  <si>
    <t>四川鑫立房地产开发有限公司</t>
  </si>
  <si>
    <t>曾志强</t>
  </si>
  <si>
    <t>四川省兴旺建设工程项目管理有限公司</t>
  </si>
  <si>
    <t>刘刚</t>
  </si>
  <si>
    <t>四川际标建设工程有限公司</t>
  </si>
  <si>
    <t>XW0088</t>
  </si>
  <si>
    <t>兴文县古宋二幼扩建项目</t>
  </si>
  <si>
    <t>贾德椿</t>
  </si>
  <si>
    <t>中泰天顺集团有限责任公司</t>
  </si>
  <si>
    <t>钟蜀淇</t>
  </si>
  <si>
    <t>XW0089</t>
  </si>
  <si>
    <t>无</t>
  </si>
  <si>
    <t>XW0090</t>
  </si>
  <si>
    <t>兴文县“十三五”脱贫攻坚扶贫建设项目-仙峰苗族乡太阳村（满山红、大团结）水站巩固提升工程</t>
  </si>
  <si>
    <t>川宜建设工程有限公司</t>
  </si>
  <si>
    <t>杨进</t>
  </si>
  <si>
    <t>XW0091</t>
  </si>
  <si>
    <t>兴文县2020年高标准农田建设项目古宋莲花片区五标段（友谊村）</t>
  </si>
  <si>
    <t>四川加承建设工程有限公司</t>
  </si>
  <si>
    <t>崔毓龙</t>
  </si>
  <si>
    <t>丁杰</t>
  </si>
  <si>
    <t>XW0092</t>
  </si>
  <si>
    <t>兴文县光明新城文体中心建设项目---总平道路工程</t>
  </si>
  <si>
    <t>宜宾合恒建筑有限公司</t>
  </si>
  <si>
    <t>刘珍</t>
  </si>
  <si>
    <t>成都交大工程建设集团有限公司</t>
  </si>
  <si>
    <t>蔡拥军</t>
  </si>
  <si>
    <t>XW0093</t>
  </si>
  <si>
    <t>兴文县强制戒毒所建设场地边坡支护</t>
  </si>
  <si>
    <t>兴文县公安局</t>
  </si>
  <si>
    <t>牟怀兵</t>
  </si>
  <si>
    <t>XW0094</t>
  </si>
  <si>
    <t>四川省宜宾市兴文县2020年高标准农田建设项目东阳片区四标段（白塔粮油基地）</t>
  </si>
  <si>
    <t>兴文县共乐镇人民政府</t>
  </si>
  <si>
    <t>赵普权</t>
  </si>
  <si>
    <t>成都卓昇建设工程管理有限公司</t>
  </si>
  <si>
    <t>李建国</t>
  </si>
  <si>
    <t>四川劲实建设有限责任公司</t>
  </si>
  <si>
    <t>XW0095</t>
  </si>
  <si>
    <t>2020年高标准农田建设项目（高义社区村）</t>
  </si>
  <si>
    <t>兴文县莲花镇人民政府</t>
  </si>
  <si>
    <t>罗宏年</t>
  </si>
  <si>
    <t>成都交大工程管理集团有限公司</t>
  </si>
  <si>
    <t>罗瑞</t>
  </si>
  <si>
    <t>四川齐要农林开发有限公司</t>
  </si>
  <si>
    <t>XW0096</t>
  </si>
  <si>
    <t>2020年高标准农田建设项目（长岭村）</t>
  </si>
  <si>
    <t>肖恒</t>
  </si>
  <si>
    <t>成都四方工程管理集团有限公司</t>
  </si>
  <si>
    <t>曾成勇</t>
  </si>
  <si>
    <t>华晟鼎创建设集团有限公司</t>
  </si>
  <si>
    <t>XW0097</t>
  </si>
  <si>
    <t>四川省宜宾市兴文县2020年高标准农田建设项目东阳片区二标段（鹤盘山村）</t>
  </si>
  <si>
    <t>雷波</t>
  </si>
  <si>
    <t>四川德能工程项目管理有限公司</t>
  </si>
  <si>
    <t>XW0098</t>
  </si>
  <si>
    <t>兴文县莲花镇莲花小学综合楼工程</t>
  </si>
  <si>
    <t>四川富华中盈建设有限公司</t>
  </si>
  <si>
    <t>白吉</t>
  </si>
  <si>
    <t>四川省名扬建设工程管理有限公司</t>
  </si>
  <si>
    <t>XW0099</t>
  </si>
  <si>
    <t>兴文县光明新城文体中心建设项目——总平景观绿化工程</t>
  </si>
  <si>
    <t>李振华</t>
  </si>
  <si>
    <t>18881982168</t>
  </si>
  <si>
    <t>XW00100</t>
  </si>
  <si>
    <t>兴文县人民医院高铁新区院区门诊楼建设项目</t>
  </si>
  <si>
    <t>李星兰</t>
  </si>
  <si>
    <t>XW00101</t>
  </si>
  <si>
    <t>委托检测-石材</t>
  </si>
  <si>
    <t>兴文县宏歌石业有限公司</t>
  </si>
  <si>
    <t>段宏均</t>
  </si>
  <si>
    <t>XW00102</t>
  </si>
  <si>
    <t>四川省宜宾市兴文县2020年高标准农田建设项目大坝片区二标段（建国村）</t>
  </si>
  <si>
    <t>李冲</t>
  </si>
  <si>
    <t>陈田</t>
  </si>
  <si>
    <t>XW00103</t>
  </si>
  <si>
    <t>兴文县十三五水利扶贫过桥贷款项目——大河苗族乡锣瓦沟集中供水巩固提升工程</t>
  </si>
  <si>
    <t>贺大元</t>
  </si>
  <si>
    <t>四川州创工程项目管理有限责任公司</t>
  </si>
  <si>
    <t>王兵</t>
  </si>
  <si>
    <t>XW00104</t>
  </si>
  <si>
    <t>四川省宜宾市兴文县2020年高标准农田建设项目大坝片区一标段（沙坝村)</t>
  </si>
  <si>
    <t>四川伟德建设项目管理有限公司</t>
  </si>
  <si>
    <t>XW00105</t>
  </si>
  <si>
    <t>兴文县高铁新区人民医院建设项目土石方工程</t>
  </si>
  <si>
    <t>四川西环建设工程有限责任公司</t>
  </si>
  <si>
    <t>彭茂果</t>
  </si>
  <si>
    <t>XW00106</t>
  </si>
  <si>
    <t>兴文高铁新区人民医院建设项目（一期）</t>
  </si>
  <si>
    <t>四川绿建西宜建设工程有限公司</t>
  </si>
  <si>
    <t>余平刚</t>
  </si>
  <si>
    <t>XW00107</t>
  </si>
  <si>
    <t>宜宾市兴文县大坝苗族乡平寨村1组黄家寨子滑坡等3处排危除险项目</t>
  </si>
  <si>
    <t>黑龙江省第一水文地质工程地质勘察院</t>
  </si>
  <si>
    <t>曲振平</t>
  </si>
  <si>
    <t>四川省地质矿产勘查开发局四〇五地质队</t>
  </si>
  <si>
    <t>张嵩</t>
  </si>
  <si>
    <t>XW00108</t>
  </si>
  <si>
    <t>兴文县僰王山镇团结村修建公共文化服务设施项目（农家书屋、卫生室、便民服务中心）</t>
  </si>
  <si>
    <t>兴文县僰王山镇人民政府</t>
  </si>
  <si>
    <t>XW00109</t>
  </si>
  <si>
    <t>宜宾市兴文县莲花镇莲花村11组熊家湾滑坡排危除险项目</t>
  </si>
  <si>
    <t>四川省容大鹏程建设工程有限公司</t>
  </si>
  <si>
    <t>陈荣</t>
  </si>
  <si>
    <t>XW00110</t>
  </si>
  <si>
    <t>四川省宜宾市兴文县2020年高标准农田建设项目东阳片区三标段（双木桥稻虾基地）</t>
  </si>
  <si>
    <t>丁华贵</t>
  </si>
  <si>
    <t>李明红</t>
  </si>
  <si>
    <t>XW00111</t>
  </si>
  <si>
    <t>象鼻公路</t>
  </si>
  <si>
    <t>XW00112</t>
  </si>
  <si>
    <t>兴文县僰王山镇玉屏污水处理站及配套管网工程</t>
  </si>
  <si>
    <t>陈然</t>
  </si>
  <si>
    <t>XW00113</t>
  </si>
  <si>
    <t>僰王山镇第二幼儿园</t>
  </si>
  <si>
    <t>XW00114</t>
  </si>
  <si>
    <t>宁209井区中心站综合值班用房及配套工程</t>
  </si>
  <si>
    <t>四川蜀渝石油建筑安装工程有限责任公司</t>
  </si>
  <si>
    <t>邓茂桥</t>
  </si>
  <si>
    <t>四川华成油气工程建设监理有限公司</t>
  </si>
  <si>
    <t>王麒蔺</t>
  </si>
  <si>
    <t>XW00115</t>
  </si>
  <si>
    <t>宜宾市石海一号麦当劳博物馆建设项目</t>
  </si>
  <si>
    <t>宜宾石海一号国际酒店合伙企业（有限合伙）</t>
  </si>
  <si>
    <t>李義</t>
  </si>
  <si>
    <t>XW00116</t>
  </si>
  <si>
    <t>四川省宜宾市兴文县僰王山镇圣合村、金竹村、群会村、天堂村、博望村、两江村、新凤村、多漕岗村、联合村、永寿村、凌霄城村、教场村、同良村城乡建设用地增减挂钩项目区</t>
  </si>
  <si>
    <t>四川恒源电力工程有限公司</t>
  </si>
  <si>
    <t>常城</t>
  </si>
  <si>
    <t>僰王山镇水泸坝村民委员会</t>
  </si>
  <si>
    <t>陈仁池</t>
  </si>
  <si>
    <t>XW00117</t>
  </si>
  <si>
    <t>建州玉虹城1、2号楼建设项目</t>
  </si>
  <si>
    <t>四川亚厚建筑工程有限公司</t>
  </si>
  <si>
    <t>李学钢</t>
  </si>
  <si>
    <t>四川鸿誉房地产开发有限公司</t>
  </si>
  <si>
    <t>胡启华</t>
  </si>
  <si>
    <t>XW00118</t>
  </si>
  <si>
    <t>四川省宜宾市兴文县僰王山镇群会村建设用地增减挂钩项目</t>
  </si>
  <si>
    <t>兴文县祥威建材销售有限公司</t>
  </si>
  <si>
    <t>潘桃</t>
  </si>
  <si>
    <t>杨莲军</t>
  </si>
  <si>
    <t>XW00119</t>
  </si>
  <si>
    <t>宜宾祥泰纸浆模塑环保餐具项目一期工程</t>
  </si>
  <si>
    <t>宜宾祥泰环保科技有限公司</t>
  </si>
  <si>
    <t>魏波</t>
  </si>
  <si>
    <t>重庆必然工程建设有限公司</t>
  </si>
  <si>
    <t>黄琼</t>
  </si>
  <si>
    <t>四川鹏莱建设工程有限责任公司</t>
  </si>
  <si>
    <t>XW00120</t>
  </si>
  <si>
    <t>兴文县毛村旅游黑化公路边坡治理项目</t>
  </si>
  <si>
    <t>四川寰曜建筑工程有限公司</t>
  </si>
  <si>
    <t>龙章华</t>
  </si>
  <si>
    <t>四川西盛工程项目管理有限公司</t>
  </si>
  <si>
    <t>李明洪</t>
  </si>
  <si>
    <t>XW00121</t>
  </si>
  <si>
    <t>委托检测-混凝土</t>
  </si>
  <si>
    <t>兴文县鸿安运混凝土有限公司</t>
  </si>
  <si>
    <t>曾杰</t>
  </si>
  <si>
    <t>XW00122</t>
  </si>
  <si>
    <t>兴文县僰王山镇易地搬迁结余资金扶贫饮水工程项目</t>
  </si>
  <si>
    <t>四川嘉腾建设工程有限公司</t>
  </si>
  <si>
    <t>杨交才</t>
  </si>
  <si>
    <t>僰王山镇水利工作站</t>
  </si>
  <si>
    <t>吴少凯</t>
  </si>
  <si>
    <t>XW00123</t>
  </si>
  <si>
    <t>宜宾市兴文县周家镇龙洞社区村3组一线天危岩排危除险项目</t>
  </si>
  <si>
    <t>XW00124</t>
  </si>
  <si>
    <t>宜宾市兴文县僰王山镇凌霄城村9组鱼池滑坡排危除险项目</t>
  </si>
  <si>
    <t>XW00125</t>
  </si>
  <si>
    <t>兴文县仙峰苗族乡群鱼社区村乡村振兴建设项目</t>
  </si>
  <si>
    <t>李志民</t>
  </si>
  <si>
    <t>王艺</t>
  </si>
  <si>
    <t>XW00126</t>
  </si>
  <si>
    <t>海翔·鎏金时光排洪沟工程</t>
  </si>
  <si>
    <t>张之伟</t>
  </si>
  <si>
    <t>昆明建设咨询管理有限公司</t>
  </si>
  <si>
    <t>廖方国</t>
  </si>
  <si>
    <t>XW00127</t>
  </si>
  <si>
    <t>海翔·鎏金时光项目高边坡防护工程</t>
  </si>
  <si>
    <t>四川华远建设工程有限公司</t>
  </si>
  <si>
    <t>李延富</t>
  </si>
  <si>
    <t>XW00128</t>
  </si>
  <si>
    <t>兴文县光明新城文体中心建设项目——附属配套景观绿化工程</t>
  </si>
  <si>
    <t>梁泽富</t>
  </si>
  <si>
    <t>四川世代佳业房地产开发有限公司兴文分公司、成都交大工程建设集团有限公司</t>
  </si>
  <si>
    <t>孔凡敬、蔡拥军</t>
  </si>
  <si>
    <t>XW00129</t>
  </si>
  <si>
    <t>海翔·鎏金时光2#楼裙楼</t>
  </si>
  <si>
    <t>兴文县鑫亚房地产开发有限公司</t>
  </si>
  <si>
    <t>罗杰、李延福</t>
  </si>
  <si>
    <t>XW00130</t>
  </si>
  <si>
    <t>四川兴文经济开发区竹产业园10KV用电工程</t>
  </si>
  <si>
    <t>四川能投宜宾电力工程建设有限公司兴文分公司</t>
  </si>
  <si>
    <t>杨言平</t>
  </si>
  <si>
    <t>杜克均</t>
  </si>
  <si>
    <t>XW00131</t>
  </si>
  <si>
    <t>四川省宜宾市兴文县僰王山镇胜合村、金竹村、群会村、天堂村、博望村、两江村、新凤村、多漕岗村、联合村、永寿村、凌霄城村、教场村、同良村城乡建设用地增减挂钩项目区僰王山镇新凤村小区安置点</t>
  </si>
  <si>
    <t>雷然</t>
  </si>
  <si>
    <t>僰王山镇晏阳村村民委员会</t>
  </si>
  <si>
    <t>王文斌</t>
  </si>
  <si>
    <t>XW00132</t>
  </si>
  <si>
    <t>四川省宜宾市兴文县僰王山镇（原玉屏镇）河畔村、九角村、同尧村、兴阳村、鱼池村、玉联村、中棉村、中心村城乡建设用地增减挂钩项目区僰王山镇玉联村小区安置点</t>
  </si>
  <si>
    <t>谢川</t>
  </si>
  <si>
    <t>僰王山镇玉联村村民委员会</t>
  </si>
  <si>
    <t>王平</t>
  </si>
  <si>
    <t>XW00133</t>
  </si>
  <si>
    <t>兴文县古宋镇第一幼儿园扩建工程</t>
  </si>
  <si>
    <t>周华</t>
  </si>
  <si>
    <t>钟蜀琪</t>
  </si>
  <si>
    <t>XW00134</t>
  </si>
  <si>
    <t>兴文县共乐镇毛村农村聚居点生活污水集中处理项目工程</t>
  </si>
  <si>
    <t>宜宾悦城建设工程有限公司</t>
  </si>
  <si>
    <t>彭加强</t>
  </si>
  <si>
    <t>罗靖瀛</t>
  </si>
  <si>
    <t>XW00135</t>
  </si>
  <si>
    <t>四川省宜宾市兴文县麒麟苗族乡茶元村、德应村、光辉村、双河村、银鹤村城乡建设用地增减挂钩项目区银鹤村聚居点</t>
  </si>
  <si>
    <t>麒麟苗族乡银鹤村村民委员会</t>
  </si>
  <si>
    <t>张洋</t>
  </si>
  <si>
    <t>侯文学</t>
  </si>
  <si>
    <t>XW00136</t>
  </si>
  <si>
    <t>四川省宜宾市兴文县麒麟苗族乡茶元村、德应村、光辉村、双河村、银鹤村城乡建设用地增减挂钩项目区双河村聚居点</t>
  </si>
  <si>
    <t>麒麟苗族乡双河村村民委员会</t>
  </si>
  <si>
    <t>杨华忠</t>
  </si>
  <si>
    <t>XW00137</t>
  </si>
  <si>
    <t>四川省宜宾市兴文县麒麟苗族乡茶元村、德应村、光辉村、双河村、银鹤村城乡建设用地增减挂钩项目区崔家坡村聚居点</t>
  </si>
  <si>
    <t>麒麟苗族乡崔家坡村村民委员会</t>
  </si>
  <si>
    <t>郝明岗</t>
  </si>
  <si>
    <t>XW00138</t>
  </si>
  <si>
    <t>兴文县伟鑫商品混凝土有限责任公司</t>
  </si>
  <si>
    <t>王贵方</t>
  </si>
  <si>
    <t>黎伟</t>
  </si>
  <si>
    <t>——</t>
  </si>
  <si>
    <t>XW00139</t>
  </si>
  <si>
    <t>兴文县“十三五”脱贫攻坚水利扶贫建设项目—三洞桥输水主渠治理工程</t>
  </si>
  <si>
    <t>四川成渝建设有限公司</t>
  </si>
  <si>
    <t>蔡世友</t>
  </si>
  <si>
    <t>成都市市政建设监理有限责任公司</t>
  </si>
  <si>
    <t>XW00140</t>
  </si>
  <si>
    <t>阳光·东方府</t>
  </si>
  <si>
    <t>王俊</t>
  </si>
  <si>
    <t>中创名建工程管理集团有限公司</t>
  </si>
  <si>
    <t>张林</t>
  </si>
  <si>
    <t>XW00141</t>
  </si>
  <si>
    <t>兴文县僰王山镇晏阳社区村民委员会游泳池</t>
  </si>
  <si>
    <t>兴文县僰王山镇晏阳社区村民委员会</t>
  </si>
  <si>
    <t>XW00142</t>
  </si>
  <si>
    <t>兴文县新时代文明实践中心装饰装修工程</t>
  </si>
  <si>
    <t>舒达维</t>
  </si>
  <si>
    <t>XW00143</t>
  </si>
  <si>
    <t>兴文县共乐中心镇创新文旅融合产业园建设项目-观光农田提升改造项目</t>
  </si>
  <si>
    <t>绿宜建设集团有限公司</t>
  </si>
  <si>
    <t>杨小坤</t>
  </si>
  <si>
    <t>中新凯瑞工程咨询有限公司</t>
  </si>
  <si>
    <t>杨宗新</t>
  </si>
  <si>
    <t>XW00144</t>
  </si>
  <si>
    <t>兴文县麒麟苗族乡海纳村党群服务中心建设项目</t>
  </si>
  <si>
    <t>曾志平</t>
  </si>
  <si>
    <t>四川恒固建设工程检测有限公司</t>
  </si>
  <si>
    <t>送检日期：</t>
  </si>
  <si>
    <t>环境温度：</t>
  </si>
  <si>
    <t>℃</t>
  </si>
  <si>
    <t>检测编号：</t>
  </si>
  <si>
    <t>150502-20200000</t>
  </si>
  <si>
    <t>15</t>
  </si>
  <si>
    <t xml:space="preserve">                   砂检测原始记录（1）             </t>
  </si>
  <si>
    <t>检测日期：</t>
  </si>
  <si>
    <t>水温：</t>
  </si>
  <si>
    <t>HG-4023069-2018</t>
  </si>
  <si>
    <t>检测编号</t>
  </si>
  <si>
    <t>品种规格</t>
  </si>
  <si>
    <t>机制</t>
  </si>
  <si>
    <t>细</t>
  </si>
  <si>
    <t>砂</t>
  </si>
  <si>
    <t>送检日期</t>
  </si>
  <si>
    <t>年</t>
  </si>
  <si>
    <t>月</t>
  </si>
  <si>
    <t>日</t>
  </si>
  <si>
    <t>试样状态</t>
  </si>
  <si>
    <r>
      <rPr>
        <sz val="11"/>
        <color theme="1"/>
        <rFont val="Wingdings 2"/>
        <charset val="134"/>
      </rPr>
      <t>£</t>
    </r>
    <r>
      <rPr>
        <sz val="11"/>
        <color theme="1"/>
        <rFont val="宋体"/>
        <charset val="134"/>
      </rPr>
      <t>浅黄色；</t>
    </r>
  </si>
  <si>
    <t>R灰色；</t>
  </si>
  <si>
    <t>R干燥颗粒；</t>
  </si>
  <si>
    <t>R无杂质；</t>
  </si>
  <si>
    <t>检测依据</t>
  </si>
  <si>
    <t>JGJ52-2006</t>
  </si>
  <si>
    <r>
      <rPr>
        <sz val="11"/>
        <color theme="1"/>
        <rFont val="宋体"/>
        <charset val="134"/>
        <scheme val="minor"/>
      </rPr>
      <t xml:space="preserve">表观密度
</t>
    </r>
    <r>
      <rPr>
        <sz val="11"/>
        <color theme="1"/>
        <rFont val="Wingdings 2"/>
        <charset val="134"/>
      </rPr>
      <t>£</t>
    </r>
    <r>
      <rPr>
        <sz val="11"/>
        <color theme="1"/>
        <rFont val="宋体"/>
        <charset val="134"/>
        <scheme val="minor"/>
      </rPr>
      <t xml:space="preserve">标准法
</t>
    </r>
    <r>
      <rPr>
        <sz val="11"/>
        <color theme="1"/>
        <rFont val="Wingdings 2"/>
        <charset val="134"/>
      </rPr>
      <t>R</t>
    </r>
    <r>
      <rPr>
        <sz val="11"/>
        <color theme="1"/>
        <rFont val="宋体"/>
        <charset val="134"/>
        <scheme val="minor"/>
      </rPr>
      <t>简易法</t>
    </r>
  </si>
  <si>
    <t>检测日期</t>
  </si>
  <si>
    <t>检测环境</t>
  </si>
  <si>
    <t>温度：</t>
  </si>
  <si>
    <t>样品预处理：试样倒入水中排除气泡后静置24h</t>
  </si>
  <si>
    <t>(</t>
  </si>
  <si>
    <t>～</t>
  </si>
  <si>
    <t>)</t>
  </si>
  <si>
    <t>检测次数</t>
  </si>
  <si>
    <t>烘干试样质量G0、m0（g）</t>
  </si>
  <si>
    <t>试样、水及容量瓶总质量
 G1、m1(g)</t>
  </si>
  <si>
    <t>水及容量瓶总质量 G2、m2(g)</t>
  </si>
  <si>
    <t>水温（℃)</t>
  </si>
  <si>
    <t>水温修正系数</t>
  </si>
  <si>
    <t>表观密度(kg/m3)</t>
  </si>
  <si>
    <t>单个值</t>
  </si>
  <si>
    <t>平均值</t>
  </si>
  <si>
    <t>大于2500</t>
  </si>
  <si>
    <t>两次结果之差不大于20</t>
  </si>
  <si>
    <t>第1次</t>
  </si>
  <si>
    <t>第2次</t>
  </si>
  <si>
    <t>烘干试样质量m0（g）</t>
  </si>
  <si>
    <t>水的原有体积V1（mL）</t>
  </si>
  <si>
    <t>倒入试样后的水和试样的体积V2（mL）</t>
  </si>
  <si>
    <t>水温（℃）</t>
  </si>
  <si>
    <t>堆积密度及空隙率</t>
  </si>
  <si>
    <t>容量筒质量G2、m1(g)</t>
  </si>
  <si>
    <t>容量筒与砂总质量G1、m2(g)</t>
  </si>
  <si>
    <t>容量筒容积V（L）</t>
  </si>
  <si>
    <t>单个值(kg/m3)</t>
  </si>
  <si>
    <t>平均值(kg/m3)</t>
  </si>
  <si>
    <t>空隙率（%）</t>
  </si>
  <si>
    <t>泥块含量</t>
  </si>
  <si>
    <t>样品状态调节：试样置于容器中，注入水后浸泡24h</t>
  </si>
  <si>
    <t>1.18mm筛
烘干量G1、m1(g)</t>
  </si>
  <si>
    <t>试验后烘干
试样量 G2、m2(g)</t>
  </si>
  <si>
    <t>泥块含量（%）</t>
  </si>
  <si>
    <t>不超过</t>
  </si>
  <si>
    <t>C60</t>
  </si>
  <si>
    <t>C55～C30</t>
  </si>
  <si>
    <t>C25</t>
  </si>
  <si>
    <r>
      <rPr>
        <sz val="11"/>
        <color theme="1"/>
        <rFont val="宋体"/>
        <charset val="134"/>
      </rPr>
      <t>≤</t>
    </r>
    <r>
      <rPr>
        <sz val="11"/>
        <color theme="1"/>
        <rFont val="宋体"/>
        <charset val="134"/>
        <scheme val="minor"/>
      </rPr>
      <t>0.5</t>
    </r>
  </si>
  <si>
    <t>≤1.0</t>
  </si>
  <si>
    <t>≤2.0</t>
  </si>
  <si>
    <r>
      <rPr>
        <sz val="11"/>
        <color theme="1"/>
        <rFont val="宋体"/>
        <charset val="134"/>
        <scheme val="minor"/>
      </rPr>
      <t xml:space="preserve">含泥量
</t>
    </r>
    <r>
      <rPr>
        <sz val="11"/>
        <color theme="1"/>
        <rFont val="Wingdings 2"/>
        <charset val="134"/>
      </rPr>
      <t>£</t>
    </r>
    <r>
      <rPr>
        <sz val="11"/>
        <color theme="1"/>
        <rFont val="宋体"/>
        <charset val="134"/>
        <scheme val="minor"/>
      </rPr>
      <t xml:space="preserve">标准法
</t>
    </r>
    <r>
      <rPr>
        <sz val="11"/>
        <color theme="1"/>
        <rFont val="Wingdings 2"/>
        <charset val="134"/>
      </rPr>
      <t>£</t>
    </r>
    <r>
      <rPr>
        <sz val="11"/>
        <color theme="1"/>
        <rFont val="宋体"/>
        <charset val="134"/>
        <scheme val="minor"/>
      </rPr>
      <t>虹吸管法</t>
    </r>
  </si>
  <si>
    <t>试验前烘干试样质量
G0、m0(g)</t>
  </si>
  <si>
    <t>试验后烘干质量G1、m1(g)</t>
  </si>
  <si>
    <t>含泥量（%）</t>
  </si>
  <si>
    <t>石粉含量</t>
  </si>
  <si>
    <t>亚甲蓝</t>
  </si>
  <si>
    <t>标准法</t>
  </si>
  <si>
    <t>加入亚甲蓝溶液总量V(mL)</t>
  </si>
  <si>
    <t>试样质量G(g)</t>
  </si>
  <si>
    <t>亚甲蓝MB（g/kg）</t>
  </si>
  <si>
    <t>大于等于1.4</t>
  </si>
  <si>
    <t>小于1.4</t>
  </si>
  <si>
    <t>不合格</t>
  </si>
  <si>
    <t>合格</t>
  </si>
  <si>
    <t>快速法</t>
  </si>
  <si>
    <t>□出现明显色晕</t>
  </si>
  <si>
    <t>□未出现明显色晕</t>
  </si>
  <si>
    <t>试验前烘干试样质量
G0(g)</t>
  </si>
  <si>
    <t>试验后烘干试样质量G1(g)</t>
  </si>
  <si>
    <t>石粉含量（%）</t>
  </si>
  <si>
    <t>MB&lt;1.4(合格）</t>
  </si>
  <si>
    <t>≤5.0</t>
  </si>
  <si>
    <t>≤7.0</t>
  </si>
  <si>
    <t>≤10.0</t>
  </si>
  <si>
    <r>
      <rPr>
        <sz val="11"/>
        <color theme="1"/>
        <rFont val="宋体"/>
        <charset val="134"/>
        <scheme val="minor"/>
      </rPr>
      <t>MB</t>
    </r>
    <r>
      <rPr>
        <sz val="11"/>
        <color theme="1"/>
        <rFont val="宋体"/>
        <charset val="134"/>
      </rPr>
      <t>≥</t>
    </r>
    <r>
      <rPr>
        <sz val="11"/>
        <color theme="1"/>
        <rFont val="宋体"/>
        <charset val="134"/>
        <scheme val="minor"/>
      </rPr>
      <t>1.4(不合格）</t>
    </r>
  </si>
  <si>
    <t>≤3.0</t>
  </si>
  <si>
    <t>颗粒级配</t>
  </si>
  <si>
    <t>筛孔径</t>
  </si>
  <si>
    <t>第一组</t>
  </si>
  <si>
    <t>第二组</t>
  </si>
  <si>
    <t>累计筛余平均值（%）</t>
  </si>
  <si>
    <t>筛余量m
500（g）</t>
  </si>
  <si>
    <t>筛孔径（mm)</t>
  </si>
  <si>
    <t>剩留量不超过</t>
  </si>
  <si>
    <t>分计筛余（%）</t>
  </si>
  <si>
    <t>累计筛余（%）</t>
  </si>
  <si>
    <t>筛孔尺寸</t>
  </si>
  <si>
    <r>
      <rPr>
        <sz val="11"/>
        <color theme="1"/>
        <rFont val="宋体"/>
        <charset val="134"/>
      </rPr>
      <t>Ⅰ</t>
    </r>
    <r>
      <rPr>
        <sz val="11"/>
        <color theme="1"/>
        <rFont val="宋体"/>
        <charset val="134"/>
        <scheme val="minor"/>
      </rPr>
      <t>区</t>
    </r>
  </si>
  <si>
    <t>Ⅱ区</t>
  </si>
  <si>
    <t>Ⅲ区</t>
  </si>
  <si>
    <t>5.00（4.75） mm</t>
  </si>
  <si>
    <t>4.75mm</t>
  </si>
  <si>
    <r>
      <rPr>
        <sz val="11"/>
        <color theme="1"/>
        <rFont val="宋体"/>
        <charset val="134"/>
        <scheme val="minor"/>
      </rPr>
      <t>10</t>
    </r>
    <r>
      <rPr>
        <sz val="11"/>
        <color theme="1"/>
        <rFont val="宋体"/>
        <charset val="134"/>
      </rPr>
      <t>～</t>
    </r>
    <r>
      <rPr>
        <sz val="11"/>
        <color theme="1"/>
        <rFont val="宋体"/>
        <charset val="134"/>
        <scheme val="minor"/>
      </rPr>
      <t>0</t>
    </r>
  </si>
  <si>
    <t>2.50（2.36） mm</t>
  </si>
  <si>
    <t>2.36mm</t>
  </si>
  <si>
    <t>35～5</t>
  </si>
  <si>
    <t>25～0</t>
  </si>
  <si>
    <t>15～0</t>
  </si>
  <si>
    <t>1.25（1.18）mm</t>
  </si>
  <si>
    <t>1.18mm</t>
  </si>
  <si>
    <t>65～35</t>
  </si>
  <si>
    <t>50～10</t>
  </si>
  <si>
    <t>630（600）μm</t>
  </si>
  <si>
    <t>0.6mm</t>
  </si>
  <si>
    <t>85～71</t>
  </si>
  <si>
    <t>70～41</t>
  </si>
  <si>
    <t>40～16</t>
  </si>
  <si>
    <t>315（300）μm</t>
  </si>
  <si>
    <t>0.3mm</t>
  </si>
  <si>
    <t>95～80</t>
  </si>
  <si>
    <t>92～70</t>
  </si>
  <si>
    <t>85～55</t>
  </si>
  <si>
    <t>160（150）μm</t>
  </si>
  <si>
    <t>0.15mm</t>
  </si>
  <si>
    <t>底筛</t>
  </si>
  <si>
    <t>遗失量（g）</t>
  </si>
  <si>
    <t>细度模数平均值</t>
  </si>
  <si>
    <t>粗砂</t>
  </si>
  <si>
    <t>3.7～3.1</t>
  </si>
  <si>
    <t>细度模数</t>
  </si>
  <si>
    <t>中砂</t>
  </si>
  <si>
    <t>3.0～2.3</t>
  </si>
  <si>
    <t>主要检测设备及编号</t>
  </si>
  <si>
    <r>
      <rPr>
        <sz val="11"/>
        <color theme="1"/>
        <rFont val="Wingdings 2"/>
        <charset val="134"/>
      </rPr>
      <t>R</t>
    </r>
    <r>
      <rPr>
        <sz val="11"/>
        <color theme="1"/>
        <rFont val="宋体"/>
        <charset val="134"/>
        <scheme val="minor"/>
      </rPr>
      <t xml:space="preserve">ZBSX-92A 顶击式标准震摆仪/HG-XW-054-J    □DYW-300DFZ万能试验机/HG-XW-004-J      
</t>
    </r>
    <r>
      <rPr>
        <sz val="11"/>
        <color theme="1"/>
        <rFont val="Wingdings 2"/>
        <charset val="134"/>
      </rPr>
      <t>R</t>
    </r>
    <r>
      <rPr>
        <sz val="11"/>
        <color theme="1"/>
        <rFont val="宋体"/>
        <charset val="134"/>
        <scheme val="minor"/>
      </rPr>
      <t xml:space="preserve">JE1002电子天平/HG-XW-012-J               </t>
    </r>
    <r>
      <rPr>
        <sz val="11"/>
        <color theme="1"/>
        <rFont val="Wingdings 2"/>
        <charset val="134"/>
      </rPr>
      <t>R</t>
    </r>
    <r>
      <rPr>
        <sz val="11"/>
        <color theme="1"/>
        <rFont val="宋体"/>
        <charset val="134"/>
        <scheme val="minor"/>
      </rPr>
      <t xml:space="preserve">101-3A红外线电热鼓风干燥箱/HG-XW-009-J
</t>
    </r>
    <r>
      <rPr>
        <sz val="11"/>
        <color theme="1"/>
        <rFont val="Wingdings 2"/>
        <charset val="134"/>
      </rPr>
      <t>R</t>
    </r>
    <r>
      <rPr>
        <sz val="11"/>
        <color theme="1"/>
        <rFont val="宋体"/>
        <charset val="134"/>
        <scheme val="minor"/>
      </rPr>
      <t xml:space="preserve">JSB15-05电子台秤/HG-XW-013-J           </t>
    </r>
    <r>
      <rPr>
        <sz val="11"/>
        <color theme="1"/>
        <rFont val="Wingdings 2"/>
        <charset val="134"/>
      </rPr>
      <t xml:space="preserve"> R</t>
    </r>
    <r>
      <rPr>
        <sz val="11"/>
        <color theme="1"/>
        <rFont val="宋体"/>
        <charset val="134"/>
        <scheme val="minor"/>
      </rPr>
      <t xml:space="preserve">方孔砂子筛/HG-XW-011-J
</t>
    </r>
    <r>
      <rPr>
        <sz val="11"/>
        <color theme="1"/>
        <rFont val="Wingdings 2"/>
        <charset val="134"/>
      </rPr>
      <t>R</t>
    </r>
    <r>
      <rPr>
        <sz val="11"/>
        <color theme="1"/>
        <rFont val="宋体"/>
        <charset val="134"/>
        <scheme val="minor"/>
      </rPr>
      <t>石粉含量测定仪/HG-XW-045-J</t>
    </r>
  </si>
  <si>
    <t>细砂</t>
  </si>
  <si>
    <t>2.2～1.6</t>
  </si>
  <si>
    <t>备注</t>
  </si>
  <si>
    <t>1. 请在所选项前“□”打“√”表示。</t>
  </si>
  <si>
    <t>特细砂</t>
  </si>
  <si>
    <r>
      <rPr>
        <sz val="11"/>
        <color theme="1"/>
        <rFont val="宋体"/>
        <charset val="134"/>
        <scheme val="minor"/>
      </rPr>
      <t>1.5</t>
    </r>
    <r>
      <rPr>
        <sz val="11"/>
        <color theme="1"/>
        <rFont val="宋体"/>
        <charset val="134"/>
      </rPr>
      <t>～</t>
    </r>
    <r>
      <rPr>
        <sz val="11"/>
        <color theme="1"/>
        <rFont val="宋体"/>
        <charset val="134"/>
        <scheme val="minor"/>
      </rPr>
      <t>0.7</t>
    </r>
  </si>
  <si>
    <t>150502-2020000015</t>
  </si>
  <si>
    <t>四川恒固建设工程检测有限公司兴文分公司</t>
  </si>
  <si>
    <t>四川省宜宾市兴文县古宋镇马栏湾村二组中华苑3号楼1层26户室</t>
  </si>
  <si>
    <t>0831-8833125</t>
  </si>
  <si>
    <t>砂检测报告</t>
  </si>
  <si>
    <t>见证人员</t>
  </si>
  <si>
    <t>代表批量</t>
  </si>
  <si>
    <t>600t</t>
  </si>
  <si>
    <t>使用部位</t>
  </si>
  <si>
    <t>基础、主体</t>
  </si>
  <si>
    <t>产地</t>
  </si>
  <si>
    <t>麒麟三合石场</t>
  </si>
  <si>
    <t>机制中砂</t>
  </si>
  <si>
    <t>报告日期</t>
  </si>
  <si>
    <t>样品描述</t>
  </si>
  <si>
    <t>灰色；干燥颗粒固体；无杂质。</t>
  </si>
  <si>
    <t>检测项目</t>
  </si>
  <si>
    <t>标准要求</t>
  </si>
  <si>
    <t>检测结果</t>
  </si>
  <si>
    <t>单项判定</t>
  </si>
  <si>
    <r>
      <rPr>
        <sz val="11"/>
        <color theme="1"/>
        <rFont val="宋体"/>
        <charset val="134"/>
        <scheme val="minor"/>
      </rPr>
      <t>表观密度（kg/m</t>
    </r>
    <r>
      <rPr>
        <vertAlign val="superscript"/>
        <sz val="11"/>
        <color theme="1"/>
        <rFont val="宋体"/>
        <charset val="134"/>
        <scheme val="minor"/>
      </rPr>
      <t>3</t>
    </r>
    <r>
      <rPr>
        <sz val="11"/>
        <color theme="1"/>
        <rFont val="宋体"/>
        <charset val="134"/>
        <scheme val="minor"/>
      </rPr>
      <t>）</t>
    </r>
  </si>
  <si>
    <r>
      <rPr>
        <sz val="11"/>
        <color theme="1"/>
        <rFont val="宋体"/>
        <charset val="134"/>
        <scheme val="minor"/>
      </rPr>
      <t>堆积密度（kg/m</t>
    </r>
    <r>
      <rPr>
        <vertAlign val="superscript"/>
        <sz val="11"/>
        <color theme="1"/>
        <rFont val="宋体"/>
        <charset val="134"/>
        <scheme val="minor"/>
      </rPr>
      <t>3</t>
    </r>
    <r>
      <rPr>
        <sz val="11"/>
        <color theme="1"/>
        <rFont val="宋体"/>
        <charset val="134"/>
        <scheme val="minor"/>
      </rPr>
      <t>）</t>
    </r>
  </si>
  <si>
    <t>空隙率(%)</t>
  </si>
  <si>
    <t>泥块含量(%)</t>
  </si>
  <si>
    <r>
      <rPr>
        <sz val="11"/>
        <color theme="1"/>
        <rFont val="宋体"/>
        <charset val="134"/>
      </rPr>
      <t>≥</t>
    </r>
    <r>
      <rPr>
        <sz val="11"/>
        <color theme="1"/>
        <rFont val="宋体"/>
        <charset val="134"/>
        <scheme val="minor"/>
      </rPr>
      <t>C60时为</t>
    </r>
    <r>
      <rPr>
        <sz val="11"/>
        <color theme="1"/>
        <rFont val="宋体"/>
        <charset val="134"/>
      </rPr>
      <t>≤</t>
    </r>
    <r>
      <rPr>
        <sz val="11"/>
        <color theme="1"/>
        <rFont val="宋体"/>
        <charset val="134"/>
        <scheme val="minor"/>
      </rPr>
      <t>2.0；C55</t>
    </r>
    <r>
      <rPr>
        <sz val="11"/>
        <color theme="1"/>
        <rFont val="宋体"/>
        <charset val="134"/>
      </rPr>
      <t>～</t>
    </r>
    <r>
      <rPr>
        <sz val="11"/>
        <color theme="1"/>
        <rFont val="宋体"/>
        <charset val="134"/>
        <scheme val="minor"/>
      </rPr>
      <t>C30时为≤3.0；≤C25时为≤5.0</t>
    </r>
  </si>
  <si>
    <t>含泥量(%)</t>
  </si>
  <si>
    <r>
      <rPr>
        <sz val="11"/>
        <color theme="1"/>
        <rFont val="宋体"/>
        <charset val="134"/>
      </rPr>
      <t>≥</t>
    </r>
    <r>
      <rPr>
        <sz val="11"/>
        <color theme="1"/>
        <rFont val="宋体"/>
        <charset val="134"/>
        <scheme val="minor"/>
      </rPr>
      <t>C60时为</t>
    </r>
    <r>
      <rPr>
        <sz val="11"/>
        <color theme="1"/>
        <rFont val="宋体"/>
        <charset val="134"/>
      </rPr>
      <t>≤0.5</t>
    </r>
    <r>
      <rPr>
        <sz val="11"/>
        <color theme="1"/>
        <rFont val="宋体"/>
        <charset val="134"/>
        <scheme val="minor"/>
      </rPr>
      <t>；C55</t>
    </r>
    <r>
      <rPr>
        <sz val="11"/>
        <color theme="1"/>
        <rFont val="宋体"/>
        <charset val="134"/>
      </rPr>
      <t>～</t>
    </r>
    <r>
      <rPr>
        <sz val="11"/>
        <color theme="1"/>
        <rFont val="宋体"/>
        <charset val="134"/>
        <scheme val="minor"/>
      </rPr>
      <t>C30时为≤</t>
    </r>
    <r>
      <rPr>
        <sz val="11"/>
        <color theme="1"/>
        <rFont val="宋体"/>
        <charset val="134"/>
      </rPr>
      <t>1</t>
    </r>
    <r>
      <rPr>
        <sz val="11"/>
        <color theme="1"/>
        <rFont val="宋体"/>
        <charset val="134"/>
        <scheme val="minor"/>
      </rPr>
      <t>；</t>
    </r>
    <r>
      <rPr>
        <sz val="11"/>
        <color theme="1"/>
        <rFont val="宋体"/>
        <charset val="134"/>
      </rPr>
      <t xml:space="preserve">  </t>
    </r>
    <r>
      <rPr>
        <sz val="11"/>
        <color theme="1"/>
        <rFont val="宋体"/>
        <charset val="134"/>
        <scheme val="minor"/>
      </rPr>
      <t>≤C25时为≤</t>
    </r>
    <r>
      <rPr>
        <sz val="11"/>
        <color theme="1"/>
        <rFont val="宋体"/>
        <charset val="134"/>
      </rPr>
      <t>2.0</t>
    </r>
  </si>
  <si>
    <t>含水率(%)</t>
  </si>
  <si>
    <r>
      <rPr>
        <sz val="11"/>
        <color theme="1"/>
        <rFont val="宋体"/>
        <charset val="134"/>
        <scheme val="minor"/>
      </rPr>
      <t>C60时为≤5.0或2.0（MB≥1.4）；C55</t>
    </r>
    <r>
      <rPr>
        <sz val="11"/>
        <color theme="1"/>
        <rFont val="宋体"/>
        <charset val="134"/>
      </rPr>
      <t>～C30时为</t>
    </r>
    <r>
      <rPr>
        <sz val="11"/>
        <color theme="1"/>
        <rFont val="宋体"/>
        <charset val="134"/>
        <scheme val="minor"/>
      </rPr>
      <t>≤7.0或3.0（MB≥1.4);≤25时为10.0或5.0（MB≥1.4)</t>
    </r>
  </si>
  <si>
    <t>MB值</t>
  </si>
  <si>
    <t>颗粒级配
累计筛余（%）</t>
  </si>
  <si>
    <t>细度模数：</t>
  </si>
  <si>
    <t>检测结论</t>
  </si>
  <si>
    <t>经检测，该样品所检参数中泥块含量、石粉含量、细度模数符合JGJ 52-2006的中砂要求。</t>
  </si>
  <si>
    <t>备  注</t>
  </si>
  <si>
    <t>声明</t>
  </si>
  <si>
    <t>1.未加盖本公司“检验检测专用章”，报告无效。
2.送样检测，仅对来样检测负责。
3.对报告若有异议，应及时向检测单位提出。
4.复制报告未重新加盖本公司“检验检测专用章”，报告无效。</t>
  </si>
  <si>
    <t>签发：</t>
  </si>
  <si>
    <t>审核：</t>
  </si>
  <si>
    <t>检测：</t>
  </si>
</sst>
</file>

<file path=xl/styles.xml><?xml version="1.0" encoding="utf-8"?>
<styleSheet xmlns="http://schemas.openxmlformats.org/spreadsheetml/2006/main">
  <numFmts count="10">
    <numFmt numFmtId="176" formatCode="yyyy\-mm\-dd"/>
    <numFmt numFmtId="44" formatCode="_ &quot;￥&quot;* #,##0.00_ ;_ &quot;￥&quot;* \-#,##0.00_ ;_ &quot;￥&quot;* &quot;-&quot;??_ ;_ @_ "/>
    <numFmt numFmtId="42" formatCode="_ &quot;￥&quot;* #,##0_ ;_ &quot;￥&quot;* \-#,##0_ ;_ &quot;￥&quot;* &quot;-&quot;_ ;_ @_ "/>
    <numFmt numFmtId="41" formatCode="_ * #,##0_ ;_ * \-#,##0_ ;_ * &quot;-&quot;_ ;_ @_ "/>
    <numFmt numFmtId="43" formatCode="_ * #,##0.00_ ;_ * \-#,##0.00_ ;_ * &quot;-&quot;??_ ;_ @_ "/>
    <numFmt numFmtId="177" formatCode="0.0_ "/>
    <numFmt numFmtId="178" formatCode="0.00_ "/>
    <numFmt numFmtId="179" formatCode="0_ "/>
    <numFmt numFmtId="180" formatCode="yyyy/m/d;@"/>
    <numFmt numFmtId="181" formatCode="0.0000_ "/>
  </numFmts>
  <fonts count="49">
    <font>
      <sz val="11"/>
      <color theme="1"/>
      <name val="宋体"/>
      <charset val="134"/>
      <scheme val="minor"/>
    </font>
    <font>
      <sz val="9"/>
      <color theme="1"/>
      <name val="宋体"/>
      <charset val="134"/>
      <scheme val="minor"/>
    </font>
    <font>
      <sz val="8"/>
      <color theme="1"/>
      <name val="宋体"/>
      <charset val="134"/>
      <scheme val="minor"/>
    </font>
    <font>
      <b/>
      <sz val="20"/>
      <color theme="1"/>
      <name val="宋体"/>
      <charset val="134"/>
      <scheme val="minor"/>
    </font>
    <font>
      <b/>
      <sz val="14"/>
      <color theme="1"/>
      <name val="宋体"/>
      <charset val="134"/>
      <scheme val="minor"/>
    </font>
    <font>
      <sz val="11"/>
      <color theme="1"/>
      <name val="宋体"/>
      <charset val="134"/>
    </font>
    <font>
      <sz val="10"/>
      <color theme="1"/>
      <name val="宋体"/>
      <charset val="134"/>
      <scheme val="minor"/>
    </font>
    <font>
      <b/>
      <sz val="18"/>
      <color rgb="FFFF0000"/>
      <name val="宋体"/>
      <charset val="134"/>
      <scheme val="minor"/>
    </font>
    <font>
      <sz val="12"/>
      <color theme="1"/>
      <name val="宋体"/>
      <charset val="134"/>
    </font>
    <font>
      <b/>
      <sz val="18"/>
      <color theme="1"/>
      <name val="宋体"/>
      <charset val="134"/>
    </font>
    <font>
      <sz val="11"/>
      <color theme="1"/>
      <name val="Wingdings 2"/>
      <charset val="134"/>
    </font>
    <font>
      <sz val="10.5"/>
      <color rgb="FF000000"/>
      <name val="宋体"/>
      <charset val="134"/>
    </font>
    <font>
      <b/>
      <sz val="14"/>
      <color rgb="FF0070C0"/>
      <name val="宋体"/>
      <charset val="134"/>
      <scheme val="minor"/>
    </font>
    <font>
      <b/>
      <sz val="14"/>
      <color rgb="FFFF0000"/>
      <name val="宋体"/>
      <charset val="134"/>
      <scheme val="minor"/>
    </font>
    <font>
      <sz val="11"/>
      <color theme="1"/>
      <name val="SimSun"/>
      <charset val="134"/>
    </font>
    <font>
      <sz val="10.5"/>
      <color theme="1"/>
      <name val="宋体"/>
      <charset val="134"/>
    </font>
    <font>
      <b/>
      <sz val="28"/>
      <color rgb="FFFF0000"/>
      <name val="宋体"/>
      <charset val="134"/>
      <scheme val="minor"/>
    </font>
    <font>
      <sz val="10"/>
      <color rgb="FF7030A0"/>
      <name val="宋体"/>
      <charset val="134"/>
      <scheme val="minor"/>
    </font>
    <font>
      <sz val="11"/>
      <color rgb="FF7030A0"/>
      <name val="SimSun"/>
      <charset val="134"/>
    </font>
    <font>
      <b/>
      <sz val="11"/>
      <color rgb="FF0070C0"/>
      <name val="宋体"/>
      <charset val="134"/>
      <scheme val="minor"/>
    </font>
    <font>
      <b/>
      <sz val="12"/>
      <color rgb="FF0070C0"/>
      <name val="宋体"/>
      <charset val="134"/>
      <scheme val="minor"/>
    </font>
    <font>
      <sz val="11"/>
      <color rgb="FF7030A0"/>
      <name val="宋体"/>
      <charset val="134"/>
      <scheme val="minor"/>
    </font>
    <font>
      <sz val="11"/>
      <color rgb="FF00B0F0"/>
      <name val="宋体"/>
      <charset val="134"/>
      <scheme val="minor"/>
    </font>
    <font>
      <sz val="11"/>
      <color rgb="FFFF0000"/>
      <name val="宋体"/>
      <charset val="134"/>
      <scheme val="minor"/>
    </font>
    <font>
      <b/>
      <sz val="11"/>
      <color theme="1"/>
      <name val="宋体"/>
      <charset val="134"/>
      <scheme val="minor"/>
    </font>
    <font>
      <b/>
      <sz val="12"/>
      <color theme="1"/>
      <name val="宋体"/>
      <charset val="134"/>
      <scheme val="minor"/>
    </font>
    <font>
      <sz val="11"/>
      <name val="宋体"/>
      <charset val="134"/>
      <scheme val="minor"/>
    </font>
    <font>
      <u/>
      <sz val="11"/>
      <color rgb="FF800080"/>
      <name val="宋体"/>
      <charset val="0"/>
      <scheme val="minor"/>
    </font>
    <font>
      <sz val="11"/>
      <color rgb="FFFF0000"/>
      <name val="宋体"/>
      <charset val="0"/>
      <scheme val="minor"/>
    </font>
    <font>
      <sz val="11"/>
      <color theme="1"/>
      <name val="宋体"/>
      <charset val="0"/>
      <scheme val="minor"/>
    </font>
    <font>
      <sz val="11"/>
      <color rgb="FF9C6500"/>
      <name val="宋体"/>
      <charset val="0"/>
      <scheme val="minor"/>
    </font>
    <font>
      <sz val="11"/>
      <color rgb="FFFA7D00"/>
      <name val="宋体"/>
      <charset val="0"/>
      <scheme val="minor"/>
    </font>
    <font>
      <sz val="11"/>
      <color theme="0"/>
      <name val="宋体"/>
      <charset val="0"/>
      <scheme val="minor"/>
    </font>
    <font>
      <b/>
      <sz val="11"/>
      <color rgb="FFFA7D00"/>
      <name val="宋体"/>
      <charset val="0"/>
      <scheme val="minor"/>
    </font>
    <font>
      <sz val="11"/>
      <color rgb="FF3F3F76"/>
      <name val="宋体"/>
      <charset val="0"/>
      <scheme val="minor"/>
    </font>
    <font>
      <sz val="11"/>
      <color rgb="FF9C0006"/>
      <name val="宋体"/>
      <charset val="0"/>
      <scheme val="minor"/>
    </font>
    <font>
      <b/>
      <sz val="11"/>
      <color rgb="FF3F3F3F"/>
      <name val="宋体"/>
      <charset val="0"/>
      <scheme val="minor"/>
    </font>
    <font>
      <b/>
      <sz val="11"/>
      <color theme="3"/>
      <name val="宋体"/>
      <charset val="134"/>
      <scheme val="minor"/>
    </font>
    <font>
      <u/>
      <sz val="11"/>
      <color rgb="FF0000FF"/>
      <name val="宋体"/>
      <charset val="0"/>
      <scheme val="minor"/>
    </font>
    <font>
      <b/>
      <sz val="18"/>
      <color theme="3"/>
      <name val="宋体"/>
      <charset val="134"/>
      <scheme val="minor"/>
    </font>
    <font>
      <b/>
      <sz val="11"/>
      <color rgb="FFFFFFFF"/>
      <name val="宋体"/>
      <charset val="0"/>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1"/>
      <name val="宋体"/>
      <charset val="0"/>
      <scheme val="minor"/>
    </font>
    <font>
      <sz val="11"/>
      <color rgb="FF006100"/>
      <name val="宋体"/>
      <charset val="0"/>
      <scheme val="minor"/>
    </font>
    <font>
      <vertAlign val="superscript"/>
      <sz val="11"/>
      <color theme="1"/>
      <name val="宋体"/>
      <charset val="134"/>
      <scheme val="minor"/>
    </font>
    <font>
      <sz val="9"/>
      <name val="宋体"/>
      <charset val="134"/>
    </font>
    <font>
      <b/>
      <sz val="9"/>
      <name val="宋体"/>
      <charset val="134"/>
    </font>
  </fonts>
  <fills count="35">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rgb="FFFFEB9C"/>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rgb="FFF2F2F2"/>
        <bgColor indexed="64"/>
      </patternFill>
    </fill>
    <fill>
      <patternFill patternType="solid">
        <fgColor rgb="FFFFCC99"/>
        <bgColor indexed="64"/>
      </patternFill>
    </fill>
    <fill>
      <patternFill patternType="solid">
        <fgColor rgb="FFFFFFCC"/>
        <bgColor indexed="64"/>
      </patternFill>
    </fill>
    <fill>
      <patternFill patternType="solid">
        <fgColor theme="9"/>
        <bgColor indexed="64"/>
      </patternFill>
    </fill>
    <fill>
      <patternFill patternType="solid">
        <fgColor theme="7"/>
        <bgColor indexed="64"/>
      </patternFill>
    </fill>
    <fill>
      <patternFill patternType="solid">
        <fgColor theme="4"/>
        <bgColor indexed="64"/>
      </patternFill>
    </fill>
    <fill>
      <patternFill patternType="solid">
        <fgColor theme="8" tint="0.799981688894314"/>
        <bgColor indexed="64"/>
      </patternFill>
    </fill>
    <fill>
      <patternFill patternType="solid">
        <fgColor rgb="FFFFC7CE"/>
        <bgColor indexed="64"/>
      </patternFill>
    </fill>
    <fill>
      <patternFill patternType="solid">
        <fgColor theme="8"/>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5"/>
        <bgColor indexed="64"/>
      </patternFill>
    </fill>
    <fill>
      <patternFill patternType="solid">
        <fgColor theme="5" tint="0.399975585192419"/>
        <bgColor indexed="64"/>
      </patternFill>
    </fill>
    <fill>
      <patternFill patternType="solid">
        <fgColor rgb="FFA5A5A5"/>
        <bgColor indexed="64"/>
      </patternFill>
    </fill>
    <fill>
      <patternFill patternType="solid">
        <fgColor theme="6"/>
        <bgColor indexed="64"/>
      </patternFill>
    </fill>
    <fill>
      <patternFill patternType="solid">
        <fgColor theme="4" tint="0.799981688894314"/>
        <bgColor indexed="64"/>
      </patternFill>
    </fill>
    <fill>
      <patternFill patternType="solid">
        <fgColor theme="9" tint="0.799981688894314"/>
        <bgColor indexed="64"/>
      </patternFill>
    </fill>
    <fill>
      <patternFill patternType="solid">
        <fgColor theme="7" tint="0.399975585192419"/>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rgb="FFC6EFCE"/>
        <bgColor indexed="64"/>
      </patternFill>
    </fill>
    <fill>
      <patternFill patternType="solid">
        <fgColor theme="7" tint="0.799981688894314"/>
        <bgColor indexed="64"/>
      </patternFill>
    </fill>
  </fills>
  <borders count="24">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style="thin">
        <color theme="4"/>
      </top>
      <bottom style="double">
        <color theme="4"/>
      </bottom>
      <diagonal/>
    </border>
  </borders>
  <cellStyleXfs count="49">
    <xf numFmtId="0" fontId="0" fillId="0" borderId="0">
      <alignment vertical="center"/>
    </xf>
    <xf numFmtId="42" fontId="0" fillId="0" borderId="0" applyFont="0" applyFill="0" applyBorder="0" applyAlignment="0" applyProtection="0">
      <alignment vertical="center"/>
    </xf>
    <xf numFmtId="0" fontId="29" fillId="9" borderId="0" applyNumberFormat="0" applyBorder="0" applyAlignment="0" applyProtection="0">
      <alignment vertical="center"/>
    </xf>
    <xf numFmtId="0" fontId="34" fillId="14" borderId="17"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9" fillId="7" borderId="0" applyNumberFormat="0" applyBorder="0" applyAlignment="0" applyProtection="0">
      <alignment vertical="center"/>
    </xf>
    <xf numFmtId="0" fontId="35" fillId="20" borderId="0" applyNumberFormat="0" applyBorder="0" applyAlignment="0" applyProtection="0">
      <alignment vertical="center"/>
    </xf>
    <xf numFmtId="43" fontId="0" fillId="0" borderId="0" applyFont="0" applyFill="0" applyBorder="0" applyAlignment="0" applyProtection="0">
      <alignment vertical="center"/>
    </xf>
    <xf numFmtId="0" fontId="32" fillId="23" borderId="0" applyNumberFormat="0" applyBorder="0" applyAlignment="0" applyProtection="0">
      <alignment vertical="center"/>
    </xf>
    <xf numFmtId="0" fontId="38" fillId="0" borderId="0" applyNumberFormat="0" applyFill="0" applyBorder="0" applyAlignment="0" applyProtection="0">
      <alignment vertical="center"/>
    </xf>
    <xf numFmtId="9" fontId="0" fillId="0" borderId="0" applyFont="0" applyFill="0" applyBorder="0" applyAlignment="0" applyProtection="0">
      <alignment vertical="center"/>
    </xf>
    <xf numFmtId="0" fontId="27" fillId="0" borderId="0" applyNumberFormat="0" applyFill="0" applyBorder="0" applyAlignment="0" applyProtection="0">
      <alignment vertical="center"/>
    </xf>
    <xf numFmtId="0" fontId="0" fillId="15" borderId="18" applyNumberFormat="0" applyFont="0" applyAlignment="0" applyProtection="0">
      <alignment vertical="center"/>
    </xf>
    <xf numFmtId="0" fontId="32" fillId="25" borderId="0" applyNumberFormat="0" applyBorder="0" applyAlignment="0" applyProtection="0">
      <alignment vertical="center"/>
    </xf>
    <xf numFmtId="0" fontId="3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0" borderId="22" applyNumberFormat="0" applyFill="0" applyAlignment="0" applyProtection="0">
      <alignment vertical="center"/>
    </xf>
    <xf numFmtId="0" fontId="43" fillId="0" borderId="22" applyNumberFormat="0" applyFill="0" applyAlignment="0" applyProtection="0">
      <alignment vertical="center"/>
    </xf>
    <xf numFmtId="0" fontId="32" fillId="22" borderId="0" applyNumberFormat="0" applyBorder="0" applyAlignment="0" applyProtection="0">
      <alignment vertical="center"/>
    </xf>
    <xf numFmtId="0" fontId="37" fillId="0" borderId="20" applyNumberFormat="0" applyFill="0" applyAlignment="0" applyProtection="0">
      <alignment vertical="center"/>
    </xf>
    <xf numFmtId="0" fontId="32" fillId="30" borderId="0" applyNumberFormat="0" applyBorder="0" applyAlignment="0" applyProtection="0">
      <alignment vertical="center"/>
    </xf>
    <xf numFmtId="0" fontId="36" fillId="13" borderId="19" applyNumberFormat="0" applyAlignment="0" applyProtection="0">
      <alignment vertical="center"/>
    </xf>
    <xf numFmtId="0" fontId="33" fillId="13" borderId="17" applyNumberFormat="0" applyAlignment="0" applyProtection="0">
      <alignment vertical="center"/>
    </xf>
    <xf numFmtId="0" fontId="40" fillId="26" borderId="21" applyNumberFormat="0" applyAlignment="0" applyProtection="0">
      <alignment vertical="center"/>
    </xf>
    <xf numFmtId="0" fontId="29" fillId="29" borderId="0" applyNumberFormat="0" applyBorder="0" applyAlignment="0" applyProtection="0">
      <alignment vertical="center"/>
    </xf>
    <xf numFmtId="0" fontId="32" fillId="24" borderId="0" applyNumberFormat="0" applyBorder="0" applyAlignment="0" applyProtection="0">
      <alignment vertical="center"/>
    </xf>
    <xf numFmtId="0" fontId="31" fillId="0" borderId="16" applyNumberFormat="0" applyFill="0" applyAlignment="0" applyProtection="0">
      <alignment vertical="center"/>
    </xf>
    <xf numFmtId="0" fontId="44" fillId="0" borderId="23" applyNumberFormat="0" applyFill="0" applyAlignment="0" applyProtection="0">
      <alignment vertical="center"/>
    </xf>
    <xf numFmtId="0" fontId="45" fillId="33" borderId="0" applyNumberFormat="0" applyBorder="0" applyAlignment="0" applyProtection="0">
      <alignment vertical="center"/>
    </xf>
    <xf numFmtId="0" fontId="30" fillId="6" borderId="0" applyNumberFormat="0" applyBorder="0" applyAlignment="0" applyProtection="0">
      <alignment vertical="center"/>
    </xf>
    <xf numFmtId="0" fontId="29" fillId="19" borderId="0" applyNumberFormat="0" applyBorder="0" applyAlignment="0" applyProtection="0">
      <alignment vertical="center"/>
    </xf>
    <xf numFmtId="0" fontId="32" fillId="18" borderId="0" applyNumberFormat="0" applyBorder="0" applyAlignment="0" applyProtection="0">
      <alignment vertical="center"/>
    </xf>
    <xf numFmtId="0" fontId="29" fillId="28" borderId="0" applyNumberFormat="0" applyBorder="0" applyAlignment="0" applyProtection="0">
      <alignment vertical="center"/>
    </xf>
    <xf numFmtId="0" fontId="29" fillId="5" borderId="0" applyNumberFormat="0" applyBorder="0" applyAlignment="0" applyProtection="0">
      <alignment vertical="center"/>
    </xf>
    <xf numFmtId="0" fontId="29" fillId="12" borderId="0" applyNumberFormat="0" applyBorder="0" applyAlignment="0" applyProtection="0">
      <alignment vertical="center"/>
    </xf>
    <xf numFmtId="0" fontId="29" fillId="8" borderId="0" applyNumberFormat="0" applyBorder="0" applyAlignment="0" applyProtection="0">
      <alignment vertical="center"/>
    </xf>
    <xf numFmtId="0" fontId="32" fillId="27" borderId="0" applyNumberFormat="0" applyBorder="0" applyAlignment="0" applyProtection="0">
      <alignment vertical="center"/>
    </xf>
    <xf numFmtId="0" fontId="32" fillId="17" borderId="0" applyNumberFormat="0" applyBorder="0" applyAlignment="0" applyProtection="0">
      <alignment vertical="center"/>
    </xf>
    <xf numFmtId="0" fontId="29" fillId="34" borderId="0" applyNumberFormat="0" applyBorder="0" applyAlignment="0" applyProtection="0">
      <alignment vertical="center"/>
    </xf>
    <xf numFmtId="0" fontId="29" fillId="4" borderId="0" applyNumberFormat="0" applyBorder="0" applyAlignment="0" applyProtection="0">
      <alignment vertical="center"/>
    </xf>
    <xf numFmtId="0" fontId="32" fillId="21" borderId="0" applyNumberFormat="0" applyBorder="0" applyAlignment="0" applyProtection="0">
      <alignment vertical="center"/>
    </xf>
    <xf numFmtId="0" fontId="29" fillId="11" borderId="0" applyNumberFormat="0" applyBorder="0" applyAlignment="0" applyProtection="0">
      <alignment vertical="center"/>
    </xf>
    <xf numFmtId="0" fontId="32" fillId="10" borderId="0" applyNumberFormat="0" applyBorder="0" applyAlignment="0" applyProtection="0">
      <alignment vertical="center"/>
    </xf>
    <xf numFmtId="0" fontId="32" fillId="16" borderId="0" applyNumberFormat="0" applyBorder="0" applyAlignment="0" applyProtection="0">
      <alignment vertical="center"/>
    </xf>
    <xf numFmtId="0" fontId="29" fillId="32" borderId="0" applyNumberFormat="0" applyBorder="0" applyAlignment="0" applyProtection="0">
      <alignment vertical="center"/>
    </xf>
    <xf numFmtId="0" fontId="32" fillId="31" borderId="0" applyNumberFormat="0" applyBorder="0" applyAlignment="0" applyProtection="0">
      <alignment vertical="center"/>
    </xf>
  </cellStyleXfs>
  <cellXfs count="158">
    <xf numFmtId="0" fontId="0" fillId="0" borderId="0" xfId="0">
      <alignmen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0" xfId="0" applyBorder="1" applyAlignment="1">
      <alignment vertical="center"/>
    </xf>
    <xf numFmtId="0" fontId="1" fillId="0" borderId="0" xfId="0" applyFont="1" applyAlignment="1">
      <alignment horizontal="right" vertical="center"/>
    </xf>
    <xf numFmtId="0" fontId="0" fillId="0" borderId="0" xfId="0" applyFont="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2" fillId="0" borderId="0" xfId="0" applyFont="1" applyAlignment="1">
      <alignment horizontal="left" vertical="center" wrapText="1"/>
    </xf>
    <xf numFmtId="0" fontId="1" fillId="0" borderId="0" xfId="0" applyFont="1" applyAlignment="1">
      <alignment horizontal="left" vertical="center"/>
    </xf>
    <xf numFmtId="0" fontId="0" fillId="0" borderId="2" xfId="0" applyBorder="1">
      <alignment vertical="center"/>
    </xf>
    <xf numFmtId="0" fontId="1" fillId="0" borderId="2" xfId="0" applyFont="1" applyBorder="1" applyAlignment="1">
      <alignment horizontal="right" vertical="center"/>
    </xf>
    <xf numFmtId="0" fontId="1" fillId="0" borderId="2" xfId="0" applyFont="1" applyBorder="1" applyAlignment="1">
      <alignment horizontal="left" vertical="center"/>
    </xf>
    <xf numFmtId="0" fontId="3" fillId="0" borderId="0" xfId="0" applyFont="1" applyBorder="1" applyAlignment="1">
      <alignment horizontal="center" vertical="center"/>
    </xf>
    <xf numFmtId="0" fontId="4" fillId="0" borderId="0" xfId="0" applyFont="1" applyBorder="1" applyAlignment="1">
      <alignment horizontal="center" vertical="center"/>
    </xf>
    <xf numFmtId="0" fontId="0" fillId="0" borderId="7" xfId="0" applyBorder="1" applyAlignment="1">
      <alignment horizontal="center" vertical="center"/>
    </xf>
    <xf numFmtId="0" fontId="0" fillId="0" borderId="7" xfId="0" applyBorder="1" applyAlignment="1">
      <alignment horizontal="left" vertical="center" wrapText="1"/>
    </xf>
    <xf numFmtId="0" fontId="0" fillId="0" borderId="7" xfId="0" applyBorder="1" applyAlignment="1">
      <alignment horizontal="left" vertical="center"/>
    </xf>
    <xf numFmtId="0" fontId="0" fillId="0" borderId="7" xfId="0" applyFill="1" applyBorder="1" applyAlignment="1">
      <alignment horizontal="left" vertical="center" wrapText="1"/>
    </xf>
    <xf numFmtId="0" fontId="0" fillId="0" borderId="7" xfId="0" applyFill="1" applyBorder="1" applyAlignment="1">
      <alignment horizontal="center" vertical="center"/>
    </xf>
    <xf numFmtId="176" fontId="0" fillId="0" borderId="7" xfId="0" applyNumberFormat="1" applyFill="1" applyBorder="1" applyAlignment="1">
      <alignment horizontal="center" vertical="center"/>
    </xf>
    <xf numFmtId="0" fontId="0" fillId="0" borderId="7" xfId="0" applyFill="1" applyBorder="1" applyAlignment="1">
      <alignment horizontal="left" vertical="center"/>
    </xf>
    <xf numFmtId="0" fontId="0" fillId="0" borderId="8" xfId="0" applyFill="1" applyBorder="1" applyAlignment="1">
      <alignment horizontal="left" vertical="center"/>
    </xf>
    <xf numFmtId="0" fontId="0" fillId="0" borderId="9" xfId="0" applyFill="1" applyBorder="1" applyAlignment="1">
      <alignment horizontal="left" vertical="center"/>
    </xf>
    <xf numFmtId="0" fontId="0" fillId="0" borderId="10" xfId="0" applyFill="1" applyBorder="1" applyAlignment="1">
      <alignment horizontal="left" vertical="center"/>
    </xf>
    <xf numFmtId="0" fontId="0" fillId="0" borderId="8" xfId="0" applyBorder="1" applyAlignment="1">
      <alignment horizontal="center" vertical="center"/>
    </xf>
    <xf numFmtId="0" fontId="0" fillId="0" borderId="10" xfId="0" applyBorder="1" applyAlignment="1">
      <alignment horizontal="center" vertical="center"/>
    </xf>
    <xf numFmtId="0" fontId="0" fillId="0" borderId="7" xfId="0" applyFont="1" applyBorder="1" applyAlignment="1">
      <alignment horizontal="center" vertical="center"/>
    </xf>
    <xf numFmtId="0" fontId="0" fillId="0" borderId="7" xfId="11" applyNumberFormat="1" applyBorder="1" applyAlignment="1">
      <alignment horizontal="center" vertical="center"/>
    </xf>
    <xf numFmtId="0" fontId="5" fillId="0" borderId="7" xfId="0" applyFont="1" applyBorder="1" applyAlignment="1">
      <alignment horizontal="center" vertical="center" wrapText="1"/>
    </xf>
    <xf numFmtId="0" fontId="0" fillId="0" borderId="7" xfId="0" applyBorder="1" applyAlignment="1">
      <alignment horizontal="center" vertical="center" wrapText="1"/>
    </xf>
    <xf numFmtId="177" fontId="0" fillId="0" borderId="7" xfId="0" applyNumberFormat="1" applyBorder="1" applyAlignment="1">
      <alignment horizontal="center" vertical="center"/>
    </xf>
    <xf numFmtId="0" fontId="0" fillId="0" borderId="7" xfId="0" applyFont="1" applyBorder="1"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xf>
    <xf numFmtId="178" fontId="0" fillId="0" borderId="7" xfId="0" applyNumberFormat="1" applyBorder="1" applyAlignment="1">
      <alignment horizontal="center" vertical="center"/>
    </xf>
    <xf numFmtId="0" fontId="0" fillId="0" borderId="4" xfId="0" applyBorder="1" applyAlignment="1">
      <alignment horizontal="center" vertical="center" wrapText="1"/>
    </xf>
    <xf numFmtId="0" fontId="0" fillId="0" borderId="7" xfId="0" applyBorder="1">
      <alignment vertical="center"/>
    </xf>
    <xf numFmtId="0" fontId="5" fillId="0" borderId="7" xfId="0" applyFont="1" applyBorder="1" applyAlignment="1">
      <alignment horizontal="center" vertical="center"/>
    </xf>
    <xf numFmtId="0" fontId="0" fillId="0" borderId="8" xfId="0" applyBorder="1" applyAlignment="1">
      <alignment horizontal="right" vertical="center"/>
    </xf>
    <xf numFmtId="0" fontId="0" fillId="0" borderId="7" xfId="0" applyFont="1" applyBorder="1">
      <alignment vertical="center"/>
    </xf>
    <xf numFmtId="0" fontId="0" fillId="0" borderId="7" xfId="0" applyFont="1" applyBorder="1" applyAlignment="1">
      <alignment horizontal="left" vertical="center" wrapText="1"/>
    </xf>
    <xf numFmtId="0" fontId="2" fillId="0" borderId="7" xfId="0" applyFont="1" applyBorder="1" applyAlignment="1">
      <alignment horizontal="left" vertical="center" wrapText="1"/>
    </xf>
    <xf numFmtId="0" fontId="2" fillId="0" borderId="7" xfId="0" applyFont="1" applyBorder="1" applyAlignment="1">
      <alignment horizontal="left" vertical="center"/>
    </xf>
    <xf numFmtId="0" fontId="6" fillId="0" borderId="0" xfId="0" applyFont="1" applyFill="1" applyAlignment="1">
      <alignment horizontal="right" vertical="center" wrapText="1"/>
    </xf>
    <xf numFmtId="0" fontId="6" fillId="0" borderId="0" xfId="0" applyFont="1" applyFill="1" applyAlignment="1">
      <alignment horizontal="left" vertical="center" wrapText="1"/>
    </xf>
    <xf numFmtId="0" fontId="6" fillId="0" borderId="0" xfId="0" applyFont="1" applyFill="1" applyAlignment="1">
      <alignment horizontal="center" vertical="center" wrapText="1"/>
    </xf>
    <xf numFmtId="49" fontId="7" fillId="0" borderId="7" xfId="0" applyNumberFormat="1" applyFont="1" applyBorder="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11" xfId="0" applyBorder="1" applyAlignment="1">
      <alignment horizontal="center" vertical="center"/>
    </xf>
    <xf numFmtId="177" fontId="0" fillId="0" borderId="3" xfId="0" applyNumberFormat="1" applyBorder="1" applyAlignment="1">
      <alignment horizontal="left" vertical="center"/>
    </xf>
    <xf numFmtId="177" fontId="0" fillId="0" borderId="12" xfId="0" applyNumberFormat="1" applyBorder="1" applyAlignment="1">
      <alignment horizontal="left" vertical="center"/>
    </xf>
    <xf numFmtId="177" fontId="0" fillId="0" borderId="6" xfId="0" applyNumberFormat="1" applyBorder="1" applyAlignment="1">
      <alignment horizontal="left" vertical="center"/>
    </xf>
    <xf numFmtId="0" fontId="0" fillId="0" borderId="13" xfId="0" applyFont="1" applyBorder="1" applyAlignment="1">
      <alignment horizontal="left" vertical="center" wrapText="1"/>
    </xf>
    <xf numFmtId="0" fontId="0" fillId="0" borderId="0" xfId="0" applyAlignment="1">
      <alignment horizontal="center" vertical="center" wrapText="1"/>
    </xf>
    <xf numFmtId="0" fontId="8" fillId="0" borderId="0" xfId="0" applyFont="1" applyAlignment="1">
      <alignment horizontal="center" vertical="center" wrapText="1"/>
    </xf>
    <xf numFmtId="0" fontId="9" fillId="0" borderId="0" xfId="0" applyFont="1" applyAlignment="1">
      <alignment vertical="center" wrapText="1"/>
    </xf>
    <xf numFmtId="0" fontId="0" fillId="2" borderId="7" xfId="0" applyFill="1" applyBorder="1" applyAlignment="1">
      <alignment horizontal="center" vertical="center" wrapText="1"/>
    </xf>
    <xf numFmtId="0" fontId="0" fillId="0" borderId="8" xfId="0" applyBorder="1" applyAlignment="1">
      <alignment horizontal="center" vertical="center" wrapText="1"/>
    </xf>
    <xf numFmtId="0" fontId="0" fillId="2" borderId="9" xfId="0" applyFill="1" applyBorder="1" applyAlignment="1">
      <alignment horizontal="center" vertical="center" wrapText="1"/>
    </xf>
    <xf numFmtId="0" fontId="0" fillId="0" borderId="10" xfId="0" applyBorder="1" applyAlignment="1">
      <alignment horizontal="center" vertical="center" wrapText="1"/>
    </xf>
    <xf numFmtId="0" fontId="10" fillId="0" borderId="7" xfId="0" applyFont="1" applyFill="1" applyBorder="1" applyAlignment="1">
      <alignment horizontal="center" vertical="center" wrapText="1"/>
    </xf>
    <xf numFmtId="177" fontId="0" fillId="2" borderId="7" xfId="0" applyNumberFormat="1" applyFill="1" applyBorder="1" applyAlignment="1">
      <alignment horizontal="center" vertical="center" wrapText="1"/>
    </xf>
    <xf numFmtId="0" fontId="0" fillId="0" borderId="7" xfId="0" applyFill="1" applyBorder="1" applyAlignment="1">
      <alignment horizontal="center" vertical="center" wrapText="1"/>
    </xf>
    <xf numFmtId="0" fontId="11" fillId="0" borderId="7" xfId="0" applyFont="1" applyBorder="1" applyAlignment="1">
      <alignment horizontal="center" vertical="center" wrapText="1"/>
    </xf>
    <xf numFmtId="0" fontId="6" fillId="0" borderId="7" xfId="0" applyFont="1" applyBorder="1" applyAlignment="1">
      <alignment horizontal="center" vertical="center" wrapText="1"/>
    </xf>
    <xf numFmtId="0" fontId="0" fillId="0" borderId="9" xfId="0" applyBorder="1" applyAlignment="1">
      <alignment horizontal="center" vertical="center" wrapText="1"/>
    </xf>
    <xf numFmtId="0" fontId="0" fillId="0" borderId="8" xfId="0" applyFill="1" applyBorder="1" applyAlignment="1">
      <alignment horizontal="center" vertical="center" wrapText="1"/>
    </xf>
    <xf numFmtId="0" fontId="0" fillId="0" borderId="11" xfId="0" applyBorder="1" applyAlignment="1">
      <alignment horizontal="center" vertical="center" wrapText="1"/>
    </xf>
    <xf numFmtId="0" fontId="0" fillId="0" borderId="2" xfId="0" applyBorder="1" applyAlignment="1">
      <alignment horizontal="center" vertical="center" wrapText="1"/>
    </xf>
    <xf numFmtId="0" fontId="0" fillId="0" borderId="14" xfId="0" applyBorder="1" applyAlignment="1">
      <alignment horizontal="center" vertical="center" wrapText="1"/>
    </xf>
    <xf numFmtId="0" fontId="0" fillId="0" borderId="5" xfId="0" applyBorder="1" applyAlignment="1">
      <alignment horizontal="center" vertical="center" wrapText="1"/>
    </xf>
    <xf numFmtId="179" fontId="0" fillId="2" borderId="1" xfId="0" applyNumberFormat="1" applyFill="1" applyBorder="1" applyAlignment="1">
      <alignment horizontal="center" vertical="center" wrapText="1"/>
    </xf>
    <xf numFmtId="179" fontId="0" fillId="2" borderId="2" xfId="0" applyNumberFormat="1" applyFill="1" applyBorder="1" applyAlignment="1">
      <alignment horizontal="center" vertical="center" wrapText="1"/>
    </xf>
    <xf numFmtId="179" fontId="0" fillId="2" borderId="3" xfId="0" applyNumberFormat="1" applyFill="1" applyBorder="1" applyAlignment="1">
      <alignment horizontal="center" vertical="center" wrapText="1"/>
    </xf>
    <xf numFmtId="0" fontId="0" fillId="0" borderId="13" xfId="0" applyBorder="1" applyAlignment="1">
      <alignment horizontal="center" vertical="center" wrapText="1"/>
    </xf>
    <xf numFmtId="179" fontId="0" fillId="2" borderId="4" xfId="0" applyNumberFormat="1" applyFill="1" applyBorder="1" applyAlignment="1">
      <alignment horizontal="center" vertical="center" wrapText="1"/>
    </xf>
    <xf numFmtId="179" fontId="0" fillId="2" borderId="5" xfId="0" applyNumberFormat="1" applyFill="1" applyBorder="1" applyAlignment="1">
      <alignment horizontal="center" vertical="center" wrapText="1"/>
    </xf>
    <xf numFmtId="179" fontId="0" fillId="2" borderId="6" xfId="0" applyNumberFormat="1" applyFill="1" applyBorder="1" applyAlignment="1">
      <alignment horizontal="center" vertical="center" wrapText="1"/>
    </xf>
    <xf numFmtId="0" fontId="0" fillId="2" borderId="8" xfId="0" applyFill="1" applyBorder="1" applyAlignment="1">
      <alignment horizontal="center" vertical="center" wrapText="1"/>
    </xf>
    <xf numFmtId="179" fontId="0" fillId="2" borderId="7" xfId="0" applyNumberFormat="1" applyFill="1" applyBorder="1" applyAlignment="1">
      <alignment horizontal="center" vertical="center" wrapText="1"/>
    </xf>
    <xf numFmtId="179" fontId="0" fillId="0" borderId="7" xfId="0" applyNumberFormat="1" applyBorder="1" applyAlignment="1">
      <alignment horizontal="center" vertical="center" wrapText="1"/>
    </xf>
    <xf numFmtId="0" fontId="10" fillId="0" borderId="7" xfId="0" applyFont="1" applyBorder="1" applyAlignment="1">
      <alignment horizontal="left" vertical="center" wrapText="1"/>
    </xf>
    <xf numFmtId="0" fontId="12" fillId="0" borderId="0" xfId="0" applyFont="1" applyAlignment="1">
      <alignment horizontal="center" vertical="center" wrapText="1"/>
    </xf>
    <xf numFmtId="14" fontId="12" fillId="0" borderId="0" xfId="0" applyNumberFormat="1" applyFont="1" applyAlignment="1">
      <alignment horizontal="center" vertical="center" wrapText="1"/>
    </xf>
    <xf numFmtId="0" fontId="13" fillId="0" borderId="0" xfId="0" applyFont="1" applyAlignment="1">
      <alignment horizontal="center" vertical="center" wrapText="1"/>
    </xf>
    <xf numFmtId="14" fontId="13" fillId="0" borderId="0" xfId="0" applyNumberFormat="1" applyFont="1" applyAlignment="1">
      <alignment horizontal="center"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4" fillId="2" borderId="7" xfId="0" applyFont="1" applyFill="1" applyBorder="1" applyAlignment="1">
      <alignment horizontal="center" vertical="center"/>
    </xf>
    <xf numFmtId="0" fontId="14" fillId="0" borderId="7" xfId="0" applyFont="1" applyFill="1" applyBorder="1" applyAlignment="1">
      <alignment vertical="center"/>
    </xf>
    <xf numFmtId="180" fontId="0" fillId="2" borderId="7" xfId="0" applyNumberFormat="1" applyFill="1" applyBorder="1" applyAlignment="1">
      <alignment horizontal="center" vertical="center" wrapText="1"/>
    </xf>
    <xf numFmtId="20" fontId="0" fillId="0" borderId="0" xfId="0" applyNumberFormat="1" applyAlignment="1">
      <alignment horizontal="center" vertical="center" wrapText="1"/>
    </xf>
    <xf numFmtId="0" fontId="15" fillId="0" borderId="7" xfId="0" applyFont="1" applyBorder="1" applyAlignment="1">
      <alignment horizontal="center" vertical="center" wrapText="1"/>
    </xf>
    <xf numFmtId="179" fontId="0" fillId="0" borderId="0" xfId="0" applyNumberFormat="1" applyAlignment="1">
      <alignment horizontal="center" vertical="center" wrapText="1"/>
    </xf>
    <xf numFmtId="0" fontId="0" fillId="0" borderId="11" xfId="11" applyNumberFormat="1" applyBorder="1" applyAlignment="1">
      <alignment horizontal="center" vertical="center" wrapText="1"/>
    </xf>
    <xf numFmtId="9" fontId="0" fillId="0" borderId="0" xfId="11" applyNumberFormat="1" applyAlignment="1">
      <alignment horizontal="center" vertical="center" wrapText="1"/>
    </xf>
    <xf numFmtId="0" fontId="0" fillId="0" borderId="13" xfId="11" applyNumberFormat="1" applyBorder="1" applyAlignment="1">
      <alignment horizontal="center" vertical="center" wrapText="1"/>
    </xf>
    <xf numFmtId="177" fontId="0" fillId="0" borderId="7" xfId="11" applyNumberFormat="1" applyBorder="1" applyAlignment="1">
      <alignment horizontal="center" vertical="center" wrapText="1"/>
    </xf>
    <xf numFmtId="0" fontId="5" fillId="0" borderId="0" xfId="0" applyFont="1" applyAlignment="1">
      <alignment horizontal="center" vertical="center" wrapText="1"/>
    </xf>
    <xf numFmtId="177" fontId="0" fillId="0" borderId="0" xfId="0" applyNumberFormat="1" applyAlignment="1">
      <alignment horizontal="center" vertical="center" wrapText="1"/>
    </xf>
    <xf numFmtId="181" fontId="0" fillId="0" borderId="0" xfId="0" applyNumberFormat="1" applyAlignment="1">
      <alignment horizontal="center" vertical="center" wrapText="1"/>
    </xf>
    <xf numFmtId="0" fontId="0" fillId="0" borderId="9"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8" xfId="0" applyNumberFormat="1" applyBorder="1" applyAlignment="1">
      <alignment horizontal="center" vertical="center" wrapText="1"/>
    </xf>
    <xf numFmtId="0" fontId="0" fillId="0" borderId="10" xfId="0" applyNumberFormat="1" applyBorder="1" applyAlignment="1">
      <alignment horizontal="center" vertical="center" wrapText="1"/>
    </xf>
    <xf numFmtId="178" fontId="0" fillId="0" borderId="1" xfId="0" applyNumberFormat="1" applyBorder="1" applyAlignment="1">
      <alignment horizontal="center" vertical="center" wrapText="1"/>
    </xf>
    <xf numFmtId="178" fontId="0" fillId="0" borderId="2" xfId="0" applyNumberFormat="1" applyBorder="1" applyAlignment="1">
      <alignment horizontal="center" vertical="center" wrapText="1"/>
    </xf>
    <xf numFmtId="178" fontId="0" fillId="0" borderId="3" xfId="0" applyNumberFormat="1" applyBorder="1" applyAlignment="1">
      <alignment horizontal="center" vertical="center" wrapText="1"/>
    </xf>
    <xf numFmtId="178" fontId="0" fillId="0" borderId="15" xfId="0" applyNumberFormat="1" applyBorder="1" applyAlignment="1">
      <alignment horizontal="center" vertical="center" wrapText="1"/>
    </xf>
    <xf numFmtId="178" fontId="0" fillId="0" borderId="0" xfId="0" applyNumberFormat="1" applyAlignment="1">
      <alignment horizontal="center" vertical="center" wrapText="1"/>
    </xf>
    <xf numFmtId="178" fontId="0" fillId="0" borderId="12" xfId="0" applyNumberFormat="1" applyBorder="1" applyAlignment="1">
      <alignment horizontal="center" vertical="center" wrapText="1"/>
    </xf>
    <xf numFmtId="0" fontId="0" fillId="0" borderId="0" xfId="0" applyFont="1" applyAlignment="1">
      <alignment horizontal="center" vertical="center" wrapText="1"/>
    </xf>
    <xf numFmtId="0" fontId="0" fillId="2" borderId="10" xfId="0" applyFill="1" applyBorder="1" applyAlignment="1">
      <alignment horizontal="center" vertical="center" wrapText="1"/>
    </xf>
    <xf numFmtId="177" fontId="0" fillId="0" borderId="8" xfId="0" applyNumberFormat="1" applyBorder="1" applyAlignment="1">
      <alignment horizontal="center" vertical="center" wrapText="1"/>
    </xf>
    <xf numFmtId="177" fontId="0" fillId="0" borderId="10" xfId="0" applyNumberFormat="1" applyBorder="1" applyAlignment="1">
      <alignment horizontal="center" vertical="center" wrapText="1"/>
    </xf>
    <xf numFmtId="0" fontId="0" fillId="0" borderId="0" xfId="11" applyNumberFormat="1" applyAlignment="1">
      <alignment horizontal="center" vertical="center" wrapText="1"/>
    </xf>
    <xf numFmtId="177" fontId="0" fillId="0" borderId="0" xfId="11" applyNumberFormat="1" applyAlignment="1">
      <alignment horizontal="center" vertical="center" wrapText="1"/>
    </xf>
    <xf numFmtId="0" fontId="16" fillId="0" borderId="0" xfId="0" applyFont="1" applyAlignment="1">
      <alignment horizontal="center" vertical="center" wrapText="1"/>
    </xf>
    <xf numFmtId="0" fontId="16" fillId="0" borderId="0" xfId="0" applyFont="1" applyAlignment="1">
      <alignment vertical="center" wrapText="1"/>
    </xf>
    <xf numFmtId="0" fontId="17" fillId="0" borderId="0" xfId="0" applyFont="1" applyBorder="1" applyAlignment="1">
      <alignment horizontal="center" vertical="center" wrapText="1"/>
    </xf>
    <xf numFmtId="0" fontId="18" fillId="2" borderId="0" xfId="0" applyFont="1" applyFill="1" applyBorder="1" applyAlignment="1">
      <alignment horizontal="center" vertical="center"/>
    </xf>
    <xf numFmtId="0" fontId="18" fillId="0" borderId="0" xfId="0" applyFont="1" applyFill="1" applyBorder="1" applyAlignment="1">
      <alignment vertical="center"/>
    </xf>
    <xf numFmtId="0" fontId="19" fillId="0" borderId="7" xfId="0" applyFont="1" applyBorder="1" applyAlignment="1">
      <alignment horizontal="center" vertical="center" wrapText="1"/>
    </xf>
    <xf numFmtId="0" fontId="20" fillId="0" borderId="7" xfId="0" applyFont="1" applyBorder="1" applyAlignment="1">
      <alignment horizontal="center" vertical="center" wrapText="1"/>
    </xf>
    <xf numFmtId="49" fontId="20" fillId="0" borderId="7" xfId="0" applyNumberFormat="1" applyFont="1" applyBorder="1" applyAlignment="1">
      <alignment horizontal="center" vertical="center" wrapText="1"/>
    </xf>
    <xf numFmtId="0" fontId="21" fillId="0" borderId="0" xfId="0" applyFont="1" applyBorder="1" applyAlignment="1">
      <alignment horizontal="right" vertical="center" wrapText="1"/>
    </xf>
    <xf numFmtId="0" fontId="22" fillId="0" borderId="0" xfId="0" applyNumberFormat="1" applyFont="1" applyAlignment="1">
      <alignment horizontal="center" vertical="center" wrapText="1"/>
    </xf>
    <xf numFmtId="0" fontId="23" fillId="0" borderId="0" xfId="0" applyNumberFormat="1" applyFont="1" applyAlignment="1">
      <alignment horizontal="center" vertical="center" wrapText="1"/>
    </xf>
    <xf numFmtId="0" fontId="0" fillId="0" borderId="0" xfId="0" applyNumberFormat="1" applyAlignment="1">
      <alignment horizontal="center" vertical="center" wrapText="1"/>
    </xf>
    <xf numFmtId="0" fontId="24" fillId="0" borderId="0" xfId="0" applyFont="1" applyAlignment="1">
      <alignment horizontal="center" vertical="center"/>
    </xf>
    <xf numFmtId="0" fontId="25" fillId="0" borderId="0" xfId="0" applyFont="1" applyAlignment="1">
      <alignment horizontal="center" vertical="center"/>
    </xf>
    <xf numFmtId="0" fontId="25" fillId="0" borderId="0" xfId="0" applyFont="1" applyAlignment="1">
      <alignment horizontal="center" vertical="center" wrapText="1"/>
    </xf>
    <xf numFmtId="0" fontId="24" fillId="0" borderId="7" xfId="0" applyFont="1" applyFill="1" applyBorder="1" applyAlignment="1">
      <alignment horizontal="center" vertical="center"/>
    </xf>
    <xf numFmtId="0" fontId="24" fillId="0" borderId="7" xfId="0" applyFont="1" applyFill="1" applyBorder="1" applyAlignment="1">
      <alignment horizontal="center" vertical="center" wrapText="1"/>
    </xf>
    <xf numFmtId="0" fontId="0" fillId="0" borderId="7" xfId="0" applyNumberFormat="1" applyFont="1" applyFill="1" applyBorder="1" applyAlignment="1">
      <alignment horizontal="center" vertical="center" wrapText="1"/>
    </xf>
    <xf numFmtId="0" fontId="0" fillId="0" borderId="7" xfId="0" applyFont="1" applyFill="1" applyBorder="1" applyAlignment="1">
      <alignment horizontal="center" vertical="center" wrapText="1"/>
    </xf>
    <xf numFmtId="0" fontId="5" fillId="0" borderId="7" xfId="0" applyFont="1" applyFill="1" applyBorder="1" applyAlignment="1">
      <alignment horizontal="center" vertical="center" wrapText="1"/>
    </xf>
    <xf numFmtId="0" fontId="15" fillId="0" borderId="7" xfId="0" applyFont="1" applyFill="1" applyBorder="1" applyAlignment="1">
      <alignment horizontal="center" vertical="center" wrapText="1"/>
    </xf>
    <xf numFmtId="0" fontId="8" fillId="0" borderId="7" xfId="0" applyFont="1" applyFill="1" applyBorder="1" applyAlignment="1">
      <alignment horizontal="center" vertical="center" wrapText="1"/>
    </xf>
    <xf numFmtId="0" fontId="0" fillId="0" borderId="7" xfId="0" applyFont="1" applyFill="1" applyBorder="1" applyAlignment="1">
      <alignment vertical="center" wrapText="1"/>
    </xf>
    <xf numFmtId="0" fontId="0" fillId="3" borderId="7" xfId="0" applyNumberFormat="1" applyFont="1" applyFill="1" applyBorder="1" applyAlignment="1">
      <alignment horizontal="center" vertical="center" wrapText="1"/>
    </xf>
    <xf numFmtId="0" fontId="0" fillId="3" borderId="7" xfId="0" applyFont="1" applyFill="1" applyBorder="1" applyAlignment="1">
      <alignment horizontal="center" vertical="center" wrapText="1"/>
    </xf>
    <xf numFmtId="0" fontId="0" fillId="3" borderId="7" xfId="0" applyFill="1" applyBorder="1" applyAlignment="1">
      <alignment horizontal="center" vertical="center" wrapText="1"/>
    </xf>
    <xf numFmtId="0" fontId="0" fillId="0" borderId="7" xfId="0" applyNumberFormat="1" applyBorder="1" applyAlignment="1">
      <alignment horizontal="center" vertical="center" wrapText="1"/>
    </xf>
    <xf numFmtId="0" fontId="15" fillId="0" borderId="7" xfId="0" applyFont="1" applyBorder="1" applyAlignment="1">
      <alignment horizontal="center" vertical="center"/>
    </xf>
    <xf numFmtId="0" fontId="26" fillId="0" borderId="7" xfId="0" applyFont="1" applyFill="1" applyBorder="1" applyAlignment="1">
      <alignment horizontal="center" vertical="center" wrapText="1"/>
    </xf>
    <xf numFmtId="0" fontId="15" fillId="0" borderId="0" xfId="0" applyFont="1" applyAlignment="1">
      <alignment horizontal="justify" vertical="center"/>
    </xf>
    <xf numFmtId="0" fontId="8" fillId="0" borderId="0" xfId="0" applyFont="1" applyAlignment="1">
      <alignment horizontal="justify" vertical="center"/>
    </xf>
    <xf numFmtId="0" fontId="15" fillId="0" borderId="0" xfId="0" applyFont="1" applyAlignment="1">
      <alignment horizontal="center" vertical="center"/>
    </xf>
    <xf numFmtId="0" fontId="0" fillId="0" borderId="0" xfId="0" applyAlignment="1">
      <alignment vertical="center" wrapText="1"/>
    </xf>
    <xf numFmtId="0" fontId="0" fillId="0" borderId="7" xfId="0" applyFill="1" applyBorder="1" applyAlignment="1" quotePrefix="1">
      <alignment horizontal="center" vertical="center" wrapText="1"/>
    </xf>
    <xf numFmtId="0" fontId="0" fillId="0" borderId="7" xfId="0" applyBorder="1" applyAlignment="1" quotePrefix="1">
      <alignment horizontal="center" vertical="center"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ill>
        <patternFill patternType="solid">
          <bgColor rgb="FFFF0000"/>
        </patternFill>
      </fill>
    </dxf>
    <dxf>
      <fill>
        <patternFill patternType="solid">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microsoft.com/office/2006/relationships/vbaProject" Target="vbaProject.bin"/><Relationship Id="rId8" Type="http://schemas.openxmlformats.org/officeDocument/2006/relationships/sharedStrings" Target="sharedStrings.xml"/><Relationship Id="rId7" Type="http://schemas.openxmlformats.org/officeDocument/2006/relationships/styles" Target="styles.xml"/><Relationship Id="rId6" Type="http://schemas.openxmlformats.org/officeDocument/2006/relationships/theme" Target="theme/theme1.xml"/><Relationship Id="rId5" Type="http://schemas.openxmlformats.org/officeDocument/2006/relationships/externalLink" Target="externalLinks/externalLink2.xml"/><Relationship Id="rId4" Type="http://schemas.openxmlformats.org/officeDocument/2006/relationships/externalLink" Target="externalLinks/externalLink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activeX/activeX6.xml><?xml version="1.0" encoding="utf-8"?>
<ax:ocx xmlns:ax="http://schemas.microsoft.com/office/2006/activeX" xmlns:r="http://schemas.openxmlformats.org/officeDocument/2006/relationships" ax:classid="{D7053240-CE69-11CD-A777-00DD01143C57}" r:id="rId1" ax:persistence="persistStreamInit"/>
</file>

<file path=xl/activeX/activeX7.xml><?xml version="1.0" encoding="utf-8"?>
<ax:ocx xmlns:ax="http://schemas.microsoft.com/office/2006/activeX" xmlns:r="http://schemas.openxmlformats.org/officeDocument/2006/relationships" ax:classid="{D7053240-CE69-11CD-A777-00DD01143C57}" r:id="rId1" ax:persistence="persistStreamInit"/>
</file>

<file path=xl/activeX/activeX8.xml><?xml version="1.0" encoding="utf-8"?>
<ax:ocx xmlns:ax="http://schemas.microsoft.com/office/2006/activeX" xmlns:r="http://schemas.openxmlformats.org/officeDocument/2006/relationships" ax:classid="{D7053240-CE69-11CD-A777-00DD01143C57}" r:id="rId1" ax:persistence="persistStreamInit"/>
</file>

<file path=xl/activeX/activeX9.xml><?xml version="1.0" encoding="utf-8"?>
<ax:ocx xmlns:ax="http://schemas.microsoft.com/office/2006/activeX" xmlns:r="http://schemas.openxmlformats.org/officeDocument/2006/relationships" ax:classid="{8BD21D20-EC42-11CE-9E0D-00AA006002F3}" r:id="rId1" ax:persistence="persistStreamInit"/>
</file>

<file path=xl/activeX/activeX10.xml><?xml version="1.0" encoding="utf-8"?>
<ax:ocx xmlns:ax="http://schemas.microsoft.com/office/2006/activeX" xmlns:r="http://schemas.openxmlformats.org/officeDocument/2006/relationships" ax:classid="{8BD21D10-EC42-11CE-9E0D-00AA006002F3}" r:id="rId1" ax:persistence="persistStreamInit"/>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jpeg"/><Relationship Id="rId1" Type="http://schemas.openxmlformats.org/officeDocument/2006/relationships/image" Target="../media/image9.jpeg"/></Relationships>
</file>

<file path=xl/drawings/_rels/vmlDrawing2.vml.rels><?xml version="1.0" encoding="UTF-8" standalone="yes"?>
<Relationships xmlns="http://schemas.openxmlformats.org/package/2006/relationships"><Relationship Id="rId8" Type="http://schemas.openxmlformats.org/officeDocument/2006/relationships/image" Target="../media/image8.wmf"/><Relationship Id="rId7" Type="http://schemas.openxmlformats.org/officeDocument/2006/relationships/image" Target="../media/image7.wmf"/><Relationship Id="rId6" Type="http://schemas.openxmlformats.org/officeDocument/2006/relationships/image" Target="../media/image6.wmf"/><Relationship Id="rId5" Type="http://schemas.openxmlformats.org/officeDocument/2006/relationships/image" Target="../media/image5.wmf"/><Relationship Id="rId4" Type="http://schemas.openxmlformats.org/officeDocument/2006/relationships/image" Target="../media/image4.wmf"/><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w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3.wmf"/><Relationship Id="rId1" Type="http://schemas.openxmlformats.org/officeDocument/2006/relationships/image" Target="../media/image12.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3</xdr:col>
      <xdr:colOff>0</xdr:colOff>
      <xdr:row>31</xdr:row>
      <xdr:rowOff>28575</xdr:rowOff>
    </xdr:from>
    <xdr:to>
      <xdr:col>12</xdr:col>
      <xdr:colOff>514350</xdr:colOff>
      <xdr:row>32</xdr:row>
      <xdr:rowOff>295275</xdr:rowOff>
    </xdr:to>
    <xdr:cxnSp>
      <xdr:nvCxnSpPr>
        <xdr:cNvPr id="2" name="直接连接符 1"/>
        <xdr:cNvCxnSpPr/>
      </xdr:nvCxnSpPr>
      <xdr:spPr>
        <a:xfrm flipV="1">
          <a:off x="1619250" y="9667875"/>
          <a:ext cx="5657850" cy="57150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13</xdr:col>
          <xdr:colOff>19050</xdr:colOff>
          <xdr:row>11</xdr:row>
          <xdr:rowOff>190500</xdr:rowOff>
        </xdr:from>
        <xdr:to>
          <xdr:col>13</xdr:col>
          <xdr:colOff>619125</xdr:colOff>
          <xdr:row>12</xdr:row>
          <xdr:rowOff>295275</xdr:rowOff>
        </xdr:to>
        <xdr:sp>
          <xdr:nvSpPr>
            <xdr:cNvPr id="3075" name="CommandButton1" hidden="1">
              <a:extLst>
                <a:ext uri="{63B3BB69-23CF-44E3-9099-C40C66FF867C}">
                  <a14:compatExt spid="_x0000_s3075"/>
                </a:ext>
              </a:extLst>
            </xdr:cNvPr>
            <xdr:cNvSpPr/>
          </xdr:nvSpPr>
          <xdr:spPr>
            <a:xfrm>
              <a:off x="7324725" y="3378200"/>
              <a:ext cx="600075" cy="4222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657225</xdr:colOff>
          <xdr:row>11</xdr:row>
          <xdr:rowOff>190500</xdr:rowOff>
        </xdr:from>
        <xdr:to>
          <xdr:col>14</xdr:col>
          <xdr:colOff>295275</xdr:colOff>
          <xdr:row>12</xdr:row>
          <xdr:rowOff>295275</xdr:rowOff>
        </xdr:to>
        <xdr:sp>
          <xdr:nvSpPr>
            <xdr:cNvPr id="3076" name="CommandButton2" hidden="1">
              <a:extLst>
                <a:ext uri="{63B3BB69-23CF-44E3-9099-C40C66FF867C}">
                  <a14:compatExt spid="_x0000_s3076"/>
                </a:ext>
              </a:extLst>
            </xdr:cNvPr>
            <xdr:cNvSpPr/>
          </xdr:nvSpPr>
          <xdr:spPr>
            <a:xfrm>
              <a:off x="7962900" y="3378200"/>
              <a:ext cx="600075" cy="4222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238125</xdr:colOff>
          <xdr:row>19</xdr:row>
          <xdr:rowOff>19050</xdr:rowOff>
        </xdr:from>
        <xdr:to>
          <xdr:col>14</xdr:col>
          <xdr:colOff>29210</xdr:colOff>
          <xdr:row>20</xdr:row>
          <xdr:rowOff>209550</xdr:rowOff>
        </xdr:to>
        <xdr:sp>
          <xdr:nvSpPr>
            <xdr:cNvPr id="3077" name="CommandButton3" hidden="1">
              <a:extLst>
                <a:ext uri="{63B3BB69-23CF-44E3-9099-C40C66FF867C}">
                  <a14:compatExt spid="_x0000_s3077"/>
                </a:ext>
              </a:extLst>
            </xdr:cNvPr>
            <xdr:cNvSpPr/>
          </xdr:nvSpPr>
          <xdr:spPr>
            <a:xfrm>
              <a:off x="7543800" y="5899150"/>
              <a:ext cx="753110" cy="5080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304800</xdr:colOff>
          <xdr:row>26</xdr:row>
          <xdr:rowOff>57150</xdr:rowOff>
        </xdr:from>
        <xdr:to>
          <xdr:col>14</xdr:col>
          <xdr:colOff>343535</xdr:colOff>
          <xdr:row>27</xdr:row>
          <xdr:rowOff>114300</xdr:rowOff>
        </xdr:to>
        <xdr:sp>
          <xdr:nvSpPr>
            <xdr:cNvPr id="3078" name="CommandButton4" hidden="1">
              <a:extLst>
                <a:ext uri="{63B3BB69-23CF-44E3-9099-C40C66FF867C}">
                  <a14:compatExt spid="_x0000_s3078"/>
                </a:ext>
              </a:extLst>
            </xdr:cNvPr>
            <xdr:cNvSpPr/>
          </xdr:nvSpPr>
          <xdr:spPr>
            <a:xfrm>
              <a:off x="7610475" y="8159750"/>
              <a:ext cx="1000760" cy="374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66675</xdr:colOff>
          <xdr:row>37</xdr:row>
          <xdr:rowOff>247650</xdr:rowOff>
        </xdr:from>
        <xdr:to>
          <xdr:col>13</xdr:col>
          <xdr:colOff>723900</xdr:colOff>
          <xdr:row>39</xdr:row>
          <xdr:rowOff>120650</xdr:rowOff>
        </xdr:to>
        <xdr:sp>
          <xdr:nvSpPr>
            <xdr:cNvPr id="3079" name="CommandButton5" hidden="1">
              <a:extLst>
                <a:ext uri="{63B3BB69-23CF-44E3-9099-C40C66FF867C}">
                  <a14:compatExt spid="_x0000_s3079"/>
                </a:ext>
              </a:extLst>
            </xdr:cNvPr>
            <xdr:cNvSpPr/>
          </xdr:nvSpPr>
          <xdr:spPr>
            <a:xfrm>
              <a:off x="7372350" y="11779250"/>
              <a:ext cx="657225" cy="4318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43</xdr:row>
          <xdr:rowOff>123825</xdr:rowOff>
        </xdr:from>
        <xdr:to>
          <xdr:col>14</xdr:col>
          <xdr:colOff>191135</xdr:colOff>
          <xdr:row>44</xdr:row>
          <xdr:rowOff>152400</xdr:rowOff>
        </xdr:to>
        <xdr:sp>
          <xdr:nvSpPr>
            <xdr:cNvPr id="3080" name="CommandButton6" hidden="1">
              <a:extLst>
                <a:ext uri="{63B3BB69-23CF-44E3-9099-C40C66FF867C}">
                  <a14:compatExt spid="_x0000_s3080"/>
                </a:ext>
              </a:extLst>
            </xdr:cNvPr>
            <xdr:cNvSpPr/>
          </xdr:nvSpPr>
          <xdr:spPr>
            <a:xfrm>
              <a:off x="7572375" y="13484225"/>
              <a:ext cx="886460" cy="3460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276225</xdr:colOff>
          <xdr:row>1</xdr:row>
          <xdr:rowOff>266700</xdr:rowOff>
        </xdr:from>
        <xdr:to>
          <xdr:col>14</xdr:col>
          <xdr:colOff>819150</xdr:colOff>
          <xdr:row>3</xdr:row>
          <xdr:rowOff>161925</xdr:rowOff>
        </xdr:to>
        <xdr:sp>
          <xdr:nvSpPr>
            <xdr:cNvPr id="3081" name="CommandButton7" hidden="1">
              <a:extLst>
                <a:ext uri="{63B3BB69-23CF-44E3-9099-C40C66FF867C}">
                  <a14:compatExt spid="_x0000_s3081"/>
                </a:ext>
              </a:extLst>
            </xdr:cNvPr>
            <xdr:cNvSpPr/>
          </xdr:nvSpPr>
          <xdr:spPr>
            <a:xfrm>
              <a:off x="7581900" y="504825"/>
              <a:ext cx="1504950" cy="4191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895350</xdr:colOff>
          <xdr:row>1</xdr:row>
          <xdr:rowOff>247650</xdr:rowOff>
        </xdr:from>
        <xdr:to>
          <xdr:col>16</xdr:col>
          <xdr:colOff>38100</xdr:colOff>
          <xdr:row>3</xdr:row>
          <xdr:rowOff>142875</xdr:rowOff>
        </xdr:to>
        <xdr:sp>
          <xdr:nvSpPr>
            <xdr:cNvPr id="3082" name="CommandButton8" hidden="1">
              <a:extLst>
                <a:ext uri="{63B3BB69-23CF-44E3-9099-C40C66FF867C}">
                  <a14:compatExt spid="_x0000_s3082"/>
                </a:ext>
              </a:extLst>
            </xdr:cNvPr>
            <xdr:cNvSpPr/>
          </xdr:nvSpPr>
          <xdr:spPr>
            <a:xfrm>
              <a:off x="9163050" y="485775"/>
              <a:ext cx="1438275" cy="419100"/>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76200</xdr:colOff>
          <xdr:row>7</xdr:row>
          <xdr:rowOff>0</xdr:rowOff>
        </xdr:from>
        <xdr:to>
          <xdr:col>18</xdr:col>
          <xdr:colOff>438150</xdr:colOff>
          <xdr:row>12</xdr:row>
          <xdr:rowOff>197485</xdr:rowOff>
        </xdr:to>
        <xdr:sp>
          <xdr:nvSpPr>
            <xdr:cNvPr id="10241" name="ListBox1" hidden="1">
              <a:extLst>
                <a:ext uri="{63B3BB69-23CF-44E3-9099-C40C66FF867C}">
                  <a14:compatExt spid="_x0000_s10241"/>
                </a:ext>
              </a:extLst>
            </xdr:cNvPr>
            <xdr:cNvSpPr/>
          </xdr:nvSpPr>
          <xdr:spPr>
            <a:xfrm>
              <a:off x="8982075" y="1428750"/>
              <a:ext cx="5162550" cy="14674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4</xdr:row>
          <xdr:rowOff>266700</xdr:rowOff>
        </xdr:from>
        <xdr:to>
          <xdr:col>18</xdr:col>
          <xdr:colOff>447675</xdr:colOff>
          <xdr:row>6</xdr:row>
          <xdr:rowOff>168275</xdr:rowOff>
        </xdr:to>
        <xdr:sp>
          <xdr:nvSpPr>
            <xdr:cNvPr id="10242" name="TextBox1" hidden="1">
              <a:extLst>
                <a:ext uri="{63B3BB69-23CF-44E3-9099-C40C66FF867C}">
                  <a14:compatExt spid="_x0000_s10242"/>
                </a:ext>
              </a:extLst>
            </xdr:cNvPr>
            <xdr:cNvSpPr/>
          </xdr:nvSpPr>
          <xdr:spPr>
            <a:xfrm>
              <a:off x="8963025" y="1022350"/>
              <a:ext cx="5191125" cy="320675"/>
            </a:xfrm>
            <a:prstGeom prst="rect">
              <a:avLst/>
            </a:prstGeom>
          </xdr:spPr>
        </xdr:sp>
        <xdr:clientData/>
      </xdr:twoCellAnchor>
    </mc:Choice>
    <mc:Fallback/>
  </mc:AlternateContent>
  <xdr:twoCellAnchor editAs="oneCell">
    <xdr:from>
      <xdr:col>1</xdr:col>
      <xdr:colOff>76200</xdr:colOff>
      <xdr:row>34</xdr:row>
      <xdr:rowOff>59055</xdr:rowOff>
    </xdr:from>
    <xdr:to>
      <xdr:col>2</xdr:col>
      <xdr:colOff>87630</xdr:colOff>
      <xdr:row>34</xdr:row>
      <xdr:rowOff>488315</xdr:rowOff>
    </xdr:to>
    <xdr:pic>
      <xdr:nvPicPr>
        <xdr:cNvPr id="2" name="图片 1" descr="熊茂"/>
        <xdr:cNvPicPr>
          <a:picLocks noChangeAspect="1"/>
        </xdr:cNvPicPr>
      </xdr:nvPicPr>
      <xdr:blipFill>
        <a:blip r:embed="rId1"/>
        <a:stretch>
          <a:fillRect/>
        </a:stretch>
      </xdr:blipFill>
      <xdr:spPr>
        <a:xfrm>
          <a:off x="895350" y="9425305"/>
          <a:ext cx="697230" cy="429260"/>
        </a:xfrm>
        <a:prstGeom prst="rect">
          <a:avLst/>
        </a:prstGeom>
      </xdr:spPr>
    </xdr:pic>
    <xdr:clientData/>
  </xdr:twoCellAnchor>
  <xdr:twoCellAnchor editAs="oneCell">
    <xdr:from>
      <xdr:col>7</xdr:col>
      <xdr:colOff>419100</xdr:colOff>
      <xdr:row>34</xdr:row>
      <xdr:rowOff>123825</xdr:rowOff>
    </xdr:from>
    <xdr:to>
      <xdr:col>8</xdr:col>
      <xdr:colOff>219075</xdr:colOff>
      <xdr:row>34</xdr:row>
      <xdr:rowOff>494030</xdr:rowOff>
    </xdr:to>
    <xdr:pic>
      <xdr:nvPicPr>
        <xdr:cNvPr id="3" name="图片 2" descr="吴雪琦"/>
        <xdr:cNvPicPr>
          <a:picLocks noChangeAspect="1"/>
        </xdr:cNvPicPr>
      </xdr:nvPicPr>
      <xdr:blipFill>
        <a:blip r:embed="rId2"/>
        <a:stretch>
          <a:fillRect/>
        </a:stretch>
      </xdr:blipFill>
      <xdr:spPr>
        <a:xfrm>
          <a:off x="5810250" y="9490075"/>
          <a:ext cx="619125" cy="370205"/>
        </a:xfrm>
        <a:prstGeom prst="rect">
          <a:avLst/>
        </a:prstGeom>
      </xdr:spPr>
    </xdr:pic>
    <xdr:clientData/>
  </xdr:twoCellAnchor>
  <xdr:twoCellAnchor editAs="oneCell">
    <xdr:from>
      <xdr:col>4</xdr:col>
      <xdr:colOff>552450</xdr:colOff>
      <xdr:row>34</xdr:row>
      <xdr:rowOff>76200</xdr:rowOff>
    </xdr:from>
    <xdr:to>
      <xdr:col>5</xdr:col>
      <xdr:colOff>624205</xdr:colOff>
      <xdr:row>34</xdr:row>
      <xdr:rowOff>566420</xdr:rowOff>
    </xdr:to>
    <xdr:pic>
      <xdr:nvPicPr>
        <xdr:cNvPr id="4" name="图片 3" descr="邓志华"/>
        <xdr:cNvPicPr>
          <a:picLocks noChangeAspect="1"/>
        </xdr:cNvPicPr>
      </xdr:nvPicPr>
      <xdr:blipFill>
        <a:blip r:embed="rId3"/>
        <a:stretch>
          <a:fillRect/>
        </a:stretch>
      </xdr:blipFill>
      <xdr:spPr>
        <a:xfrm>
          <a:off x="3429000" y="9442450"/>
          <a:ext cx="852805" cy="49022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9" Type="http://schemas.openxmlformats.org/officeDocument/2006/relationships/image" Target="../media/image3.wmf"/><Relationship Id="rId8" Type="http://schemas.openxmlformats.org/officeDocument/2006/relationships/control" Target="../activeX/activeX3.xml"/><Relationship Id="rId7" Type="http://schemas.openxmlformats.org/officeDocument/2006/relationships/image" Target="../media/image2.wmf"/><Relationship Id="rId6" Type="http://schemas.openxmlformats.org/officeDocument/2006/relationships/control" Target="../activeX/activeX2.xml"/><Relationship Id="rId5" Type="http://schemas.openxmlformats.org/officeDocument/2006/relationships/image" Target="../media/image1.wmf"/><Relationship Id="rId4" Type="http://schemas.openxmlformats.org/officeDocument/2006/relationships/control" Target="../activeX/activeX1.xml"/><Relationship Id="rId3" Type="http://schemas.openxmlformats.org/officeDocument/2006/relationships/vmlDrawing" Target="../drawings/vmlDrawing2.vml"/><Relationship Id="rId2" Type="http://schemas.openxmlformats.org/officeDocument/2006/relationships/drawing" Target="../drawings/drawing1.xml"/><Relationship Id="rId19" Type="http://schemas.openxmlformats.org/officeDocument/2006/relationships/image" Target="../media/image8.wmf"/><Relationship Id="rId18" Type="http://schemas.openxmlformats.org/officeDocument/2006/relationships/control" Target="../activeX/activeX8.xml"/><Relationship Id="rId17" Type="http://schemas.openxmlformats.org/officeDocument/2006/relationships/image" Target="../media/image7.wmf"/><Relationship Id="rId16" Type="http://schemas.openxmlformats.org/officeDocument/2006/relationships/control" Target="../activeX/activeX7.xml"/><Relationship Id="rId15" Type="http://schemas.openxmlformats.org/officeDocument/2006/relationships/image" Target="../media/image6.wmf"/><Relationship Id="rId14" Type="http://schemas.openxmlformats.org/officeDocument/2006/relationships/control" Target="../activeX/activeX6.xml"/><Relationship Id="rId13" Type="http://schemas.openxmlformats.org/officeDocument/2006/relationships/image" Target="../media/image5.wmf"/><Relationship Id="rId12" Type="http://schemas.openxmlformats.org/officeDocument/2006/relationships/control" Target="../activeX/activeX5.xml"/><Relationship Id="rId11" Type="http://schemas.openxmlformats.org/officeDocument/2006/relationships/image" Target="../media/image4.wmf"/><Relationship Id="rId10" Type="http://schemas.openxmlformats.org/officeDocument/2006/relationships/control" Target="../activeX/activeX4.x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6" Type="http://schemas.openxmlformats.org/officeDocument/2006/relationships/image" Target="../media/image13.wmf"/><Relationship Id="rId5" Type="http://schemas.openxmlformats.org/officeDocument/2006/relationships/control" Target="../activeX/activeX10.xml"/><Relationship Id="rId4" Type="http://schemas.openxmlformats.org/officeDocument/2006/relationships/image" Target="../media/image12.wmf"/><Relationship Id="rId3" Type="http://schemas.openxmlformats.org/officeDocument/2006/relationships/control" Target="../activeX/activeX9.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rgb="FFFF0000"/>
    <outlinePr summaryRight="0"/>
  </sheetPr>
  <dimension ref="A1:K148"/>
  <sheetViews>
    <sheetView workbookViewId="0">
      <pane xSplit="3" ySplit="3" topLeftCell="D143" activePane="bottomRight" state="frozen"/>
      <selection/>
      <selection pane="topRight"/>
      <selection pane="bottomLeft"/>
      <selection pane="bottomRight" activeCell="A148" sqref="A148"/>
    </sheetView>
  </sheetViews>
  <sheetFormatPr defaultColWidth="9" defaultRowHeight="13.5"/>
  <cols>
    <col min="1" max="1" width="9.25" style="1" customWidth="1"/>
    <col min="2" max="2" width="26.25" style="1" customWidth="1"/>
    <col min="3" max="3" width="16.125" style="60" customWidth="1"/>
    <col min="4" max="4" width="15.625" style="1" customWidth="1" outlineLevel="1"/>
    <col min="5" max="5" width="8.875" style="1" customWidth="1" outlineLevel="1"/>
    <col min="6" max="6" width="13.5" style="1" customWidth="1" outlineLevel="1"/>
    <col min="7" max="7" width="16.125" style="1" customWidth="1" outlineLevel="1"/>
    <col min="8" max="8" width="9.25" style="1" customWidth="1" outlineLevel="1"/>
    <col min="9" max="9" width="5.25" style="1" customWidth="1" outlineLevel="1"/>
    <col min="10" max="10" width="13.5" style="1" customWidth="1" outlineLevel="1"/>
    <col min="11" max="11" width="16.875" style="60" customWidth="1" outlineLevel="1"/>
  </cols>
  <sheetData>
    <row r="1" ht="27" customHeight="1" spans="1:11">
      <c r="A1" s="138" t="s">
        <v>0</v>
      </c>
      <c r="B1" s="138"/>
      <c r="C1" s="139"/>
      <c r="D1" s="138"/>
      <c r="E1" s="138"/>
      <c r="F1" s="138"/>
      <c r="G1" s="138"/>
      <c r="H1" s="138"/>
      <c r="I1" s="138"/>
      <c r="J1" s="138"/>
      <c r="K1" s="139"/>
    </row>
    <row r="2" ht="30" customHeight="1" spans="1:11">
      <c r="A2" s="140" t="s">
        <v>1</v>
      </c>
      <c r="B2" s="140" t="s">
        <v>2</v>
      </c>
      <c r="C2" s="141"/>
      <c r="D2" s="140"/>
      <c r="E2" s="140"/>
      <c r="F2" s="140"/>
      <c r="G2" s="140"/>
      <c r="H2" s="140"/>
      <c r="I2" s="140"/>
      <c r="J2" s="140"/>
      <c r="K2" s="141"/>
    </row>
    <row r="3" s="137" customFormat="1" ht="40.5" spans="1:11">
      <c r="A3" s="140"/>
      <c r="B3" s="140" t="s">
        <v>3</v>
      </c>
      <c r="C3" s="141" t="s">
        <v>4</v>
      </c>
      <c r="D3" s="141" t="s">
        <v>5</v>
      </c>
      <c r="E3" s="140" t="s">
        <v>6</v>
      </c>
      <c r="F3" s="140" t="s">
        <v>7</v>
      </c>
      <c r="G3" s="141" t="s">
        <v>8</v>
      </c>
      <c r="H3" s="140" t="s">
        <v>9</v>
      </c>
      <c r="I3" s="141" t="s">
        <v>10</v>
      </c>
      <c r="J3" s="140" t="s">
        <v>11</v>
      </c>
      <c r="K3" s="141" t="s">
        <v>12</v>
      </c>
    </row>
    <row r="4" s="137" customFormat="1" spans="1:11">
      <c r="A4" s="140">
        <v>1</v>
      </c>
      <c r="B4" s="140">
        <v>2</v>
      </c>
      <c r="C4" s="140">
        <v>3</v>
      </c>
      <c r="D4" s="140">
        <v>4</v>
      </c>
      <c r="E4" s="140">
        <v>5</v>
      </c>
      <c r="F4" s="140">
        <v>6</v>
      </c>
      <c r="G4" s="140">
        <v>7</v>
      </c>
      <c r="H4" s="140">
        <v>8</v>
      </c>
      <c r="I4" s="140">
        <v>9</v>
      </c>
      <c r="J4" s="140">
        <v>10</v>
      </c>
      <c r="K4" s="140">
        <v>11</v>
      </c>
    </row>
    <row r="5" ht="30" customHeight="1" spans="1:11">
      <c r="A5" s="142" t="s">
        <v>13</v>
      </c>
      <c r="B5" s="143" t="s">
        <v>14</v>
      </c>
      <c r="C5" s="69" t="s">
        <v>15</v>
      </c>
      <c r="D5" s="69" t="s">
        <v>16</v>
      </c>
      <c r="E5" s="69" t="s">
        <v>17</v>
      </c>
      <c r="F5" s="69">
        <v>15883171842</v>
      </c>
      <c r="G5" s="69" t="s">
        <v>18</v>
      </c>
      <c r="H5" s="69" t="s">
        <v>19</v>
      </c>
      <c r="I5" s="69">
        <v>606</v>
      </c>
      <c r="J5" s="69">
        <v>15283544454</v>
      </c>
      <c r="K5" s="69" t="s">
        <v>20</v>
      </c>
    </row>
    <row r="6" ht="30" customHeight="1" spans="1:11">
      <c r="A6" s="142" t="s">
        <v>21</v>
      </c>
      <c r="B6" s="143" t="s">
        <v>22</v>
      </c>
      <c r="C6" s="69" t="s">
        <v>23</v>
      </c>
      <c r="D6" s="69" t="s">
        <v>16</v>
      </c>
      <c r="E6" s="69" t="s">
        <v>24</v>
      </c>
      <c r="F6" s="69">
        <v>13330660035</v>
      </c>
      <c r="G6" s="69" t="s">
        <v>25</v>
      </c>
      <c r="H6" s="69" t="s">
        <v>26</v>
      </c>
      <c r="I6" s="69" t="s">
        <v>20</v>
      </c>
      <c r="J6" s="69">
        <v>13330656788</v>
      </c>
      <c r="K6" s="69" t="s">
        <v>20</v>
      </c>
    </row>
    <row r="7" ht="30" customHeight="1" spans="1:11">
      <c r="A7" s="142" t="s">
        <v>27</v>
      </c>
      <c r="B7" s="143" t="s">
        <v>28</v>
      </c>
      <c r="C7" s="69" t="s">
        <v>29</v>
      </c>
      <c r="D7" s="69" t="s">
        <v>16</v>
      </c>
      <c r="E7" s="69" t="s">
        <v>30</v>
      </c>
      <c r="F7" s="69" t="s">
        <v>20</v>
      </c>
      <c r="G7" s="69" t="s">
        <v>31</v>
      </c>
      <c r="H7" s="69" t="s">
        <v>32</v>
      </c>
      <c r="I7" s="69">
        <v>602</v>
      </c>
      <c r="J7" s="69">
        <v>15928281518</v>
      </c>
      <c r="K7" s="69" t="s">
        <v>20</v>
      </c>
    </row>
    <row r="8" ht="30" customHeight="1" spans="1:11">
      <c r="A8" s="142" t="s">
        <v>33</v>
      </c>
      <c r="B8" s="143" t="s">
        <v>34</v>
      </c>
      <c r="C8" s="69" t="s">
        <v>35</v>
      </c>
      <c r="D8" s="69" t="s">
        <v>36</v>
      </c>
      <c r="E8" s="69" t="s">
        <v>37</v>
      </c>
      <c r="F8" s="69">
        <v>17780806482</v>
      </c>
      <c r="G8" s="69" t="s">
        <v>38</v>
      </c>
      <c r="H8" s="69" t="s">
        <v>20</v>
      </c>
      <c r="I8" s="69" t="s">
        <v>20</v>
      </c>
      <c r="J8" s="69" t="s">
        <v>20</v>
      </c>
      <c r="K8" s="69" t="s">
        <v>20</v>
      </c>
    </row>
    <row r="9" ht="30" customHeight="1" spans="1:11">
      <c r="A9" s="142" t="s">
        <v>39</v>
      </c>
      <c r="B9" s="143" t="s">
        <v>40</v>
      </c>
      <c r="C9" s="69" t="s">
        <v>41</v>
      </c>
      <c r="D9" s="69" t="s">
        <v>16</v>
      </c>
      <c r="E9" s="69" t="s">
        <v>42</v>
      </c>
      <c r="F9" s="69">
        <v>17398188283</v>
      </c>
      <c r="G9" s="69" t="s">
        <v>43</v>
      </c>
      <c r="H9" s="69" t="s">
        <v>44</v>
      </c>
      <c r="I9" s="69" t="s">
        <v>20</v>
      </c>
      <c r="J9" s="69">
        <v>18383116092</v>
      </c>
      <c r="K9" s="69" t="s">
        <v>20</v>
      </c>
    </row>
    <row r="10" ht="30" customHeight="1" spans="1:11">
      <c r="A10" s="142" t="s">
        <v>45</v>
      </c>
      <c r="B10" s="143" t="s">
        <v>46</v>
      </c>
      <c r="C10" s="69" t="s">
        <v>47</v>
      </c>
      <c r="D10" s="69" t="s">
        <v>16</v>
      </c>
      <c r="E10" s="69" t="s">
        <v>48</v>
      </c>
      <c r="F10" s="69">
        <v>17713691732</v>
      </c>
      <c r="G10" s="69" t="s">
        <v>49</v>
      </c>
      <c r="H10" s="69" t="s">
        <v>50</v>
      </c>
      <c r="I10" s="69" t="s">
        <v>20</v>
      </c>
      <c r="J10" s="69">
        <v>13384598108</v>
      </c>
      <c r="K10" s="69" t="s">
        <v>47</v>
      </c>
    </row>
    <row r="11" ht="30" customHeight="1" spans="1:11">
      <c r="A11" s="142" t="s">
        <v>51</v>
      </c>
      <c r="B11" s="143" t="s">
        <v>52</v>
      </c>
      <c r="C11" s="69" t="s">
        <v>53</v>
      </c>
      <c r="D11" s="69" t="s">
        <v>36</v>
      </c>
      <c r="E11" s="69" t="s">
        <v>54</v>
      </c>
      <c r="F11" s="69">
        <v>15283535118</v>
      </c>
      <c r="G11" s="69" t="s">
        <v>20</v>
      </c>
      <c r="H11" s="69" t="s">
        <v>20</v>
      </c>
      <c r="I11" s="69" t="s">
        <v>20</v>
      </c>
      <c r="J11" s="69" t="s">
        <v>20</v>
      </c>
      <c r="K11" s="69" t="s">
        <v>20</v>
      </c>
    </row>
    <row r="12" ht="30" customHeight="1" spans="1:11">
      <c r="A12" s="142" t="s">
        <v>55</v>
      </c>
      <c r="B12" s="143" t="s">
        <v>56</v>
      </c>
      <c r="C12" s="69" t="s">
        <v>20</v>
      </c>
      <c r="D12" s="69" t="s">
        <v>36</v>
      </c>
      <c r="E12" s="69" t="s">
        <v>57</v>
      </c>
      <c r="F12" s="69">
        <v>13730754884</v>
      </c>
      <c r="G12" s="69" t="s">
        <v>20</v>
      </c>
      <c r="H12" s="69" t="s">
        <v>20</v>
      </c>
      <c r="I12" s="69" t="s">
        <v>20</v>
      </c>
      <c r="J12" s="69" t="s">
        <v>20</v>
      </c>
      <c r="K12" s="69" t="s">
        <v>20</v>
      </c>
    </row>
    <row r="13" ht="30" customHeight="1" spans="1:11">
      <c r="A13" s="142" t="s">
        <v>58</v>
      </c>
      <c r="B13" s="143" t="s">
        <v>59</v>
      </c>
      <c r="C13" s="69" t="s">
        <v>60</v>
      </c>
      <c r="D13" s="69" t="s">
        <v>36</v>
      </c>
      <c r="E13" s="69" t="s">
        <v>20</v>
      </c>
      <c r="F13" s="69" t="s">
        <v>20</v>
      </c>
      <c r="G13" s="69" t="s">
        <v>20</v>
      </c>
      <c r="H13" s="69" t="s">
        <v>20</v>
      </c>
      <c r="I13" s="69" t="s">
        <v>20</v>
      </c>
      <c r="J13" s="69" t="s">
        <v>20</v>
      </c>
      <c r="K13" s="69" t="s">
        <v>20</v>
      </c>
    </row>
    <row r="14" ht="30" customHeight="1" spans="1:11">
      <c r="A14" s="142" t="s">
        <v>61</v>
      </c>
      <c r="B14" s="69" t="s">
        <v>62</v>
      </c>
      <c r="C14" s="69" t="s">
        <v>63</v>
      </c>
      <c r="D14" s="69" t="s">
        <v>16</v>
      </c>
      <c r="E14" s="69" t="s">
        <v>64</v>
      </c>
      <c r="F14" s="69">
        <v>13038109996</v>
      </c>
      <c r="G14" s="69" t="s">
        <v>65</v>
      </c>
      <c r="H14" s="69" t="s">
        <v>66</v>
      </c>
      <c r="I14" s="69" t="s">
        <v>20</v>
      </c>
      <c r="J14" s="69">
        <v>19981518431</v>
      </c>
      <c r="K14" s="69" t="s">
        <v>20</v>
      </c>
    </row>
    <row r="15" ht="30" customHeight="1" spans="1:11">
      <c r="A15" s="142" t="s">
        <v>67</v>
      </c>
      <c r="B15" s="143" t="s">
        <v>68</v>
      </c>
      <c r="C15" s="69" t="s">
        <v>69</v>
      </c>
      <c r="D15" s="69" t="s">
        <v>16</v>
      </c>
      <c r="E15" s="69" t="s">
        <v>70</v>
      </c>
      <c r="F15" s="69">
        <v>18008117111</v>
      </c>
      <c r="G15" s="69" t="s">
        <v>71</v>
      </c>
      <c r="H15" s="69" t="s">
        <v>72</v>
      </c>
      <c r="I15" s="69" t="s">
        <v>20</v>
      </c>
      <c r="J15" s="69" t="s">
        <v>20</v>
      </c>
      <c r="K15" s="69" t="s">
        <v>20</v>
      </c>
    </row>
    <row r="16" ht="30" customHeight="1" spans="1:11">
      <c r="A16" s="142" t="s">
        <v>73</v>
      </c>
      <c r="B16" s="143" t="s">
        <v>74</v>
      </c>
      <c r="C16" s="69" t="s">
        <v>75</v>
      </c>
      <c r="D16" s="69" t="s">
        <v>16</v>
      </c>
      <c r="E16" s="69" t="s">
        <v>76</v>
      </c>
      <c r="F16" s="69">
        <v>13088331488</v>
      </c>
      <c r="G16" s="69" t="s">
        <v>77</v>
      </c>
      <c r="H16" s="69" t="s">
        <v>78</v>
      </c>
      <c r="I16" s="69">
        <v>226</v>
      </c>
      <c r="J16" s="69">
        <v>18308140500</v>
      </c>
      <c r="K16" s="69" t="s">
        <v>20</v>
      </c>
    </row>
    <row r="17" ht="30" customHeight="1" spans="1:11">
      <c r="A17" s="142" t="s">
        <v>79</v>
      </c>
      <c r="B17" s="144" t="s">
        <v>80</v>
      </c>
      <c r="C17" s="69" t="s">
        <v>81</v>
      </c>
      <c r="D17" s="69" t="s">
        <v>16</v>
      </c>
      <c r="E17" s="145" t="s">
        <v>82</v>
      </c>
      <c r="F17" s="146">
        <v>18998343576</v>
      </c>
      <c r="G17" s="145" t="s">
        <v>81</v>
      </c>
      <c r="H17" s="69" t="s">
        <v>83</v>
      </c>
      <c r="I17" s="69">
        <v>623</v>
      </c>
      <c r="J17" s="146">
        <v>13989212549</v>
      </c>
      <c r="K17" s="69" t="s">
        <v>20</v>
      </c>
    </row>
    <row r="18" ht="30" customHeight="1" spans="1:11">
      <c r="A18" s="142" t="s">
        <v>84</v>
      </c>
      <c r="B18" s="143" t="s">
        <v>85</v>
      </c>
      <c r="C18" s="69" t="s">
        <v>20</v>
      </c>
      <c r="D18" s="69" t="s">
        <v>36</v>
      </c>
      <c r="E18" s="69" t="s">
        <v>20</v>
      </c>
      <c r="F18" s="69" t="s">
        <v>20</v>
      </c>
      <c r="G18" s="69" t="s">
        <v>20</v>
      </c>
      <c r="H18" s="69" t="s">
        <v>20</v>
      </c>
      <c r="I18" s="69" t="s">
        <v>20</v>
      </c>
      <c r="J18" s="69" t="s">
        <v>20</v>
      </c>
      <c r="K18" s="69" t="s">
        <v>20</v>
      </c>
    </row>
    <row r="19" ht="30" customHeight="1" spans="1:11">
      <c r="A19" s="142" t="s">
        <v>86</v>
      </c>
      <c r="B19" s="69" t="s">
        <v>87</v>
      </c>
      <c r="C19" s="69" t="s">
        <v>88</v>
      </c>
      <c r="D19" s="69" t="s">
        <v>16</v>
      </c>
      <c r="E19" s="69" t="s">
        <v>89</v>
      </c>
      <c r="F19" s="69">
        <v>13350101005</v>
      </c>
      <c r="G19" s="69" t="s">
        <v>90</v>
      </c>
      <c r="H19" s="69" t="s">
        <v>91</v>
      </c>
      <c r="I19" s="69"/>
      <c r="J19" s="69">
        <v>13883230672</v>
      </c>
      <c r="K19" s="69" t="s">
        <v>88</v>
      </c>
    </row>
    <row r="20" ht="30" customHeight="1" spans="1:11">
      <c r="A20" s="142" t="s">
        <v>92</v>
      </c>
      <c r="B20" s="143" t="s">
        <v>93</v>
      </c>
      <c r="C20" s="143" t="s">
        <v>94</v>
      </c>
      <c r="D20" s="69" t="s">
        <v>36</v>
      </c>
      <c r="E20" s="69" t="s">
        <v>20</v>
      </c>
      <c r="F20" s="69" t="s">
        <v>20</v>
      </c>
      <c r="G20" s="69" t="s">
        <v>20</v>
      </c>
      <c r="H20" s="69" t="s">
        <v>20</v>
      </c>
      <c r="I20" s="69" t="s">
        <v>20</v>
      </c>
      <c r="J20" s="69" t="s">
        <v>20</v>
      </c>
      <c r="K20" s="69" t="s">
        <v>20</v>
      </c>
    </row>
    <row r="21" ht="30" customHeight="1" spans="1:11">
      <c r="A21" s="142" t="s">
        <v>95</v>
      </c>
      <c r="B21" s="143" t="s">
        <v>96</v>
      </c>
      <c r="C21" s="69" t="s">
        <v>97</v>
      </c>
      <c r="D21" s="69" t="s">
        <v>16</v>
      </c>
      <c r="E21" s="69" t="s">
        <v>98</v>
      </c>
      <c r="F21" s="69">
        <v>18140195711</v>
      </c>
      <c r="G21" s="69" t="s">
        <v>99</v>
      </c>
      <c r="H21" s="69" t="s">
        <v>100</v>
      </c>
      <c r="I21" s="69" t="s">
        <v>20</v>
      </c>
      <c r="J21" s="69">
        <v>18780275139</v>
      </c>
      <c r="K21" s="69" t="s">
        <v>20</v>
      </c>
    </row>
    <row r="22" ht="30" customHeight="1" spans="1:11">
      <c r="A22" s="142" t="s">
        <v>101</v>
      </c>
      <c r="B22" s="69" t="s">
        <v>102</v>
      </c>
      <c r="C22" s="69" t="s">
        <v>103</v>
      </c>
      <c r="D22" s="69" t="s">
        <v>16</v>
      </c>
      <c r="E22" s="69" t="s">
        <v>104</v>
      </c>
      <c r="F22" s="69">
        <v>18623150808</v>
      </c>
      <c r="G22" s="69" t="s">
        <v>18</v>
      </c>
      <c r="H22" s="69" t="s">
        <v>19</v>
      </c>
      <c r="I22" s="69">
        <v>606</v>
      </c>
      <c r="J22" s="69">
        <v>15283544454</v>
      </c>
      <c r="K22" s="69" t="s">
        <v>20</v>
      </c>
    </row>
    <row r="23" ht="30" customHeight="1" spans="1:11">
      <c r="A23" s="142" t="s">
        <v>105</v>
      </c>
      <c r="B23" s="143" t="s">
        <v>106</v>
      </c>
      <c r="C23" s="69" t="s">
        <v>107</v>
      </c>
      <c r="D23" s="69" t="s">
        <v>16</v>
      </c>
      <c r="E23" s="69" t="s">
        <v>108</v>
      </c>
      <c r="F23" s="69">
        <v>18111141387</v>
      </c>
      <c r="G23" s="69" t="s">
        <v>18</v>
      </c>
      <c r="H23" s="69" t="s">
        <v>37</v>
      </c>
      <c r="I23" s="69" t="s">
        <v>20</v>
      </c>
      <c r="J23" s="69">
        <v>17780806482</v>
      </c>
      <c r="K23" s="69" t="s">
        <v>15</v>
      </c>
    </row>
    <row r="24" ht="30" customHeight="1" spans="1:11">
      <c r="A24" s="142" t="s">
        <v>109</v>
      </c>
      <c r="B24" s="145" t="s">
        <v>110</v>
      </c>
      <c r="C24" s="145" t="s">
        <v>111</v>
      </c>
      <c r="D24" s="69" t="s">
        <v>16</v>
      </c>
      <c r="E24" s="145" t="s">
        <v>42</v>
      </c>
      <c r="F24" s="145">
        <v>17398188283</v>
      </c>
      <c r="G24" s="145" t="s">
        <v>18</v>
      </c>
      <c r="H24" s="145" t="s">
        <v>112</v>
      </c>
      <c r="I24" s="69" t="s">
        <v>20</v>
      </c>
      <c r="J24" s="145">
        <v>18113857666</v>
      </c>
      <c r="K24" s="69" t="s">
        <v>20</v>
      </c>
    </row>
    <row r="25" ht="30" customHeight="1" spans="1:11">
      <c r="A25" s="142" t="s">
        <v>113</v>
      </c>
      <c r="B25" s="143" t="s">
        <v>114</v>
      </c>
      <c r="C25" s="69" t="s">
        <v>97</v>
      </c>
      <c r="D25" s="69" t="s">
        <v>16</v>
      </c>
      <c r="E25" s="69" t="s">
        <v>98</v>
      </c>
      <c r="F25" s="69">
        <v>18140195711</v>
      </c>
      <c r="G25" s="69" t="s">
        <v>99</v>
      </c>
      <c r="H25" s="69" t="s">
        <v>100</v>
      </c>
      <c r="I25" s="69" t="s">
        <v>20</v>
      </c>
      <c r="J25" s="69">
        <v>18780275139</v>
      </c>
      <c r="K25" s="69" t="s">
        <v>20</v>
      </c>
    </row>
    <row r="26" ht="30" customHeight="1" spans="1:11">
      <c r="A26" s="142" t="s">
        <v>115</v>
      </c>
      <c r="B26" s="143" t="s">
        <v>116</v>
      </c>
      <c r="C26" s="69" t="s">
        <v>20</v>
      </c>
      <c r="D26" s="69" t="s">
        <v>36</v>
      </c>
      <c r="E26" s="69" t="s">
        <v>20</v>
      </c>
      <c r="F26" s="69" t="s">
        <v>20</v>
      </c>
      <c r="G26" s="69" t="s">
        <v>20</v>
      </c>
      <c r="H26" s="69" t="s">
        <v>20</v>
      </c>
      <c r="I26" s="69" t="s">
        <v>20</v>
      </c>
      <c r="J26" s="69" t="s">
        <v>20</v>
      </c>
      <c r="K26" s="69" t="s">
        <v>20</v>
      </c>
    </row>
    <row r="27" ht="30" customHeight="1" spans="1:11">
      <c r="A27" s="142" t="s">
        <v>117</v>
      </c>
      <c r="B27" s="143" t="s">
        <v>118</v>
      </c>
      <c r="C27" s="69" t="s">
        <v>119</v>
      </c>
      <c r="D27" s="69" t="s">
        <v>16</v>
      </c>
      <c r="E27" s="69" t="s">
        <v>120</v>
      </c>
      <c r="F27" s="69">
        <v>13568073739</v>
      </c>
      <c r="G27" s="69" t="s">
        <v>18</v>
      </c>
      <c r="H27" s="69" t="s">
        <v>19</v>
      </c>
      <c r="I27" s="69">
        <v>606</v>
      </c>
      <c r="J27" s="69">
        <v>15283544454</v>
      </c>
      <c r="K27" s="69"/>
    </row>
    <row r="28" ht="30" customHeight="1" spans="1:11">
      <c r="A28" s="142" t="s">
        <v>121</v>
      </c>
      <c r="B28" s="143" t="s">
        <v>122</v>
      </c>
      <c r="C28" s="69" t="s">
        <v>20</v>
      </c>
      <c r="D28" s="69" t="s">
        <v>36</v>
      </c>
      <c r="E28" s="69" t="s">
        <v>20</v>
      </c>
      <c r="F28" s="69" t="s">
        <v>20</v>
      </c>
      <c r="G28" s="69" t="s">
        <v>20</v>
      </c>
      <c r="H28" s="69" t="s">
        <v>20</v>
      </c>
      <c r="I28" s="69" t="s">
        <v>20</v>
      </c>
      <c r="J28" s="69" t="s">
        <v>20</v>
      </c>
      <c r="K28" s="69" t="s">
        <v>20</v>
      </c>
    </row>
    <row r="29" ht="30" customHeight="1" spans="1:11">
      <c r="A29" s="142" t="s">
        <v>123</v>
      </c>
      <c r="B29" s="143" t="s">
        <v>124</v>
      </c>
      <c r="C29" s="69" t="s">
        <v>20</v>
      </c>
      <c r="D29" s="69" t="s">
        <v>36</v>
      </c>
      <c r="E29" s="69" t="s">
        <v>125</v>
      </c>
      <c r="F29" s="69">
        <v>15681724777</v>
      </c>
      <c r="G29" s="69" t="s">
        <v>20</v>
      </c>
      <c r="H29" s="69" t="s">
        <v>20</v>
      </c>
      <c r="I29" s="69" t="s">
        <v>20</v>
      </c>
      <c r="J29" s="69" t="s">
        <v>20</v>
      </c>
      <c r="K29" s="69" t="s">
        <v>20</v>
      </c>
    </row>
    <row r="30" ht="30" customHeight="1" spans="1:11">
      <c r="A30" s="142" t="s">
        <v>126</v>
      </c>
      <c r="B30" s="69" t="s">
        <v>127</v>
      </c>
      <c r="C30" s="69" t="s">
        <v>128</v>
      </c>
      <c r="D30" s="69" t="s">
        <v>16</v>
      </c>
      <c r="E30" s="69" t="s">
        <v>129</v>
      </c>
      <c r="F30" s="69">
        <v>15388309698</v>
      </c>
      <c r="G30" s="69" t="s">
        <v>18</v>
      </c>
      <c r="H30" s="69" t="s">
        <v>19</v>
      </c>
      <c r="I30" s="69">
        <v>606</v>
      </c>
      <c r="J30" s="69">
        <v>15283544454</v>
      </c>
      <c r="K30" s="69" t="s">
        <v>20</v>
      </c>
    </row>
    <row r="31" ht="30" customHeight="1" spans="1:11">
      <c r="A31" s="142" t="s">
        <v>130</v>
      </c>
      <c r="B31" s="143" t="s">
        <v>131</v>
      </c>
      <c r="C31" s="69" t="s">
        <v>20</v>
      </c>
      <c r="D31" s="69" t="s">
        <v>36</v>
      </c>
      <c r="E31" s="69" t="s">
        <v>57</v>
      </c>
      <c r="F31" s="69">
        <v>13730754884</v>
      </c>
      <c r="G31" s="69" t="s">
        <v>20</v>
      </c>
      <c r="H31" s="69" t="s">
        <v>20</v>
      </c>
      <c r="I31" s="69" t="s">
        <v>20</v>
      </c>
      <c r="J31" s="69" t="s">
        <v>20</v>
      </c>
      <c r="K31" s="69" t="s">
        <v>20</v>
      </c>
    </row>
    <row r="32" ht="30" customHeight="1" spans="1:11">
      <c r="A32" s="142" t="s">
        <v>132</v>
      </c>
      <c r="B32" s="143" t="s">
        <v>133</v>
      </c>
      <c r="C32" s="69" t="s">
        <v>134</v>
      </c>
      <c r="D32" s="69" t="s">
        <v>16</v>
      </c>
      <c r="E32" s="69" t="s">
        <v>135</v>
      </c>
      <c r="F32" s="69">
        <v>13568116692</v>
      </c>
      <c r="G32" s="69" t="s">
        <v>136</v>
      </c>
      <c r="H32" s="69" t="s">
        <v>37</v>
      </c>
      <c r="I32" s="69" t="s">
        <v>20</v>
      </c>
      <c r="J32" s="69" t="s">
        <v>20</v>
      </c>
      <c r="K32" s="69" t="s">
        <v>20</v>
      </c>
    </row>
    <row r="33" ht="30" customHeight="1" spans="1:11">
      <c r="A33" s="142" t="s">
        <v>137</v>
      </c>
      <c r="B33" s="143" t="s">
        <v>138</v>
      </c>
      <c r="C33" s="69" t="s">
        <v>139</v>
      </c>
      <c r="D33" s="69" t="s">
        <v>16</v>
      </c>
      <c r="E33" s="69" t="s">
        <v>140</v>
      </c>
      <c r="F33" s="69">
        <v>18940216879</v>
      </c>
      <c r="G33" s="69" t="s">
        <v>141</v>
      </c>
      <c r="H33" s="69" t="s">
        <v>142</v>
      </c>
      <c r="I33" s="69"/>
      <c r="J33" s="69">
        <v>15898069459</v>
      </c>
      <c r="K33" s="69" t="s">
        <v>20</v>
      </c>
    </row>
    <row r="34" ht="30" customHeight="1" spans="1:11">
      <c r="A34" s="142" t="s">
        <v>143</v>
      </c>
      <c r="B34" s="143" t="s">
        <v>144</v>
      </c>
      <c r="C34" s="69" t="s">
        <v>145</v>
      </c>
      <c r="D34" s="69" t="s">
        <v>36</v>
      </c>
      <c r="E34" s="69" t="s">
        <v>24</v>
      </c>
      <c r="F34" s="69">
        <v>13330660035</v>
      </c>
      <c r="G34" s="69" t="s">
        <v>20</v>
      </c>
      <c r="H34" s="69" t="s">
        <v>20</v>
      </c>
      <c r="I34" s="69" t="s">
        <v>20</v>
      </c>
      <c r="J34" s="69" t="s">
        <v>20</v>
      </c>
      <c r="K34" s="69" t="s">
        <v>20</v>
      </c>
    </row>
    <row r="35" ht="30" customHeight="1" spans="1:11">
      <c r="A35" s="142" t="s">
        <v>146</v>
      </c>
      <c r="B35" s="143" t="s">
        <v>144</v>
      </c>
      <c r="C35" s="69" t="s">
        <v>147</v>
      </c>
      <c r="D35" s="69" t="s">
        <v>36</v>
      </c>
      <c r="E35" s="69" t="s">
        <v>24</v>
      </c>
      <c r="F35" s="69">
        <v>13330660035</v>
      </c>
      <c r="G35" s="69" t="s">
        <v>20</v>
      </c>
      <c r="H35" s="69" t="s">
        <v>20</v>
      </c>
      <c r="I35" s="69" t="s">
        <v>20</v>
      </c>
      <c r="J35" s="69" t="s">
        <v>20</v>
      </c>
      <c r="K35" s="69" t="s">
        <v>20</v>
      </c>
    </row>
    <row r="36" ht="30" customHeight="1" spans="1:11">
      <c r="A36" s="142" t="s">
        <v>148</v>
      </c>
      <c r="B36" s="69" t="s">
        <v>149</v>
      </c>
      <c r="C36" s="69" t="s">
        <v>150</v>
      </c>
      <c r="D36" s="69" t="s">
        <v>16</v>
      </c>
      <c r="E36" s="69" t="s">
        <v>151</v>
      </c>
      <c r="F36" s="69">
        <v>18881932261</v>
      </c>
      <c r="G36" s="69" t="s">
        <v>152</v>
      </c>
      <c r="H36" s="69" t="s">
        <v>153</v>
      </c>
      <c r="I36" s="69" t="s">
        <v>20</v>
      </c>
      <c r="J36" s="69">
        <v>15828862260</v>
      </c>
      <c r="K36" s="69" t="s">
        <v>154</v>
      </c>
    </row>
    <row r="37" ht="30" customHeight="1" spans="1:11">
      <c r="A37" s="142" t="s">
        <v>155</v>
      </c>
      <c r="B37" s="69" t="s">
        <v>156</v>
      </c>
      <c r="C37" s="69" t="s">
        <v>157</v>
      </c>
      <c r="D37" s="69" t="s">
        <v>36</v>
      </c>
      <c r="E37" s="69" t="s">
        <v>158</v>
      </c>
      <c r="F37" s="69" t="s">
        <v>20</v>
      </c>
      <c r="G37" s="69" t="s">
        <v>20</v>
      </c>
      <c r="H37" s="69" t="s">
        <v>20</v>
      </c>
      <c r="I37" s="69" t="s">
        <v>20</v>
      </c>
      <c r="J37" s="69" t="s">
        <v>20</v>
      </c>
      <c r="K37" s="69" t="s">
        <v>20</v>
      </c>
    </row>
    <row r="38" ht="30" customHeight="1" spans="1:11">
      <c r="A38" s="142" t="s">
        <v>159</v>
      </c>
      <c r="B38" s="69" t="s">
        <v>160</v>
      </c>
      <c r="C38" s="69" t="s">
        <v>154</v>
      </c>
      <c r="D38" s="69" t="s">
        <v>16</v>
      </c>
      <c r="E38" s="69" t="s">
        <v>161</v>
      </c>
      <c r="F38" s="69">
        <v>18780668390</v>
      </c>
      <c r="G38" s="69" t="s">
        <v>162</v>
      </c>
      <c r="H38" s="69" t="s">
        <v>163</v>
      </c>
      <c r="I38" s="69" t="s">
        <v>20</v>
      </c>
      <c r="J38" s="69">
        <v>15183174503</v>
      </c>
      <c r="K38" s="143" t="s">
        <v>154</v>
      </c>
    </row>
    <row r="39" ht="30" customHeight="1" spans="1:11">
      <c r="A39" s="142" t="s">
        <v>164</v>
      </c>
      <c r="B39" s="69" t="s">
        <v>165</v>
      </c>
      <c r="C39" s="69" t="s">
        <v>166</v>
      </c>
      <c r="D39" s="69" t="s">
        <v>16</v>
      </c>
      <c r="E39" s="69" t="s">
        <v>167</v>
      </c>
      <c r="F39" s="69">
        <v>15328455655</v>
      </c>
      <c r="G39" s="69" t="s">
        <v>168</v>
      </c>
      <c r="H39" s="69" t="s">
        <v>37</v>
      </c>
      <c r="I39" s="69" t="s">
        <v>20</v>
      </c>
      <c r="J39" s="69">
        <v>17780806482</v>
      </c>
      <c r="K39" s="69" t="s">
        <v>166</v>
      </c>
    </row>
    <row r="40" ht="30" customHeight="1" spans="1:11">
      <c r="A40" s="142" t="s">
        <v>169</v>
      </c>
      <c r="B40" s="69" t="s">
        <v>170</v>
      </c>
      <c r="C40" s="69" t="s">
        <v>171</v>
      </c>
      <c r="D40" s="69" t="s">
        <v>16</v>
      </c>
      <c r="E40" s="69" t="s">
        <v>172</v>
      </c>
      <c r="F40" s="69">
        <v>15082635888</v>
      </c>
      <c r="G40" s="69" t="s">
        <v>173</v>
      </c>
      <c r="H40" s="69" t="s">
        <v>174</v>
      </c>
      <c r="I40" s="69" t="s">
        <v>20</v>
      </c>
      <c r="J40" s="69">
        <v>18283119433</v>
      </c>
      <c r="K40" s="69" t="s">
        <v>171</v>
      </c>
    </row>
    <row r="41" ht="30" customHeight="1" spans="1:11">
      <c r="A41" s="142" t="s">
        <v>175</v>
      </c>
      <c r="B41" s="143" t="s">
        <v>176</v>
      </c>
      <c r="C41" s="143" t="s">
        <v>177</v>
      </c>
      <c r="D41" s="69" t="s">
        <v>16</v>
      </c>
      <c r="E41" s="69" t="s">
        <v>178</v>
      </c>
      <c r="F41" s="69">
        <v>18148455868</v>
      </c>
      <c r="G41" s="69" t="s">
        <v>18</v>
      </c>
      <c r="H41" s="69" t="s">
        <v>112</v>
      </c>
      <c r="I41" s="69" t="s">
        <v>20</v>
      </c>
      <c r="J41" s="69">
        <v>18113857666</v>
      </c>
      <c r="K41" s="69" t="s">
        <v>179</v>
      </c>
    </row>
    <row r="42" ht="30" customHeight="1" spans="1:11">
      <c r="A42" s="142" t="s">
        <v>180</v>
      </c>
      <c r="B42" s="69" t="s">
        <v>181</v>
      </c>
      <c r="C42" s="69" t="s">
        <v>182</v>
      </c>
      <c r="D42" s="69" t="s">
        <v>16</v>
      </c>
      <c r="E42" s="69" t="s">
        <v>183</v>
      </c>
      <c r="F42" s="69">
        <v>15388307328</v>
      </c>
      <c r="G42" s="69" t="s">
        <v>182</v>
      </c>
      <c r="H42" s="69" t="s">
        <v>184</v>
      </c>
      <c r="I42" s="69" t="s">
        <v>20</v>
      </c>
      <c r="J42" s="69">
        <v>18223177967</v>
      </c>
      <c r="K42" s="69" t="s">
        <v>185</v>
      </c>
    </row>
    <row r="43" ht="30" customHeight="1" spans="1:11">
      <c r="A43" s="142" t="s">
        <v>186</v>
      </c>
      <c r="B43" s="69" t="s">
        <v>187</v>
      </c>
      <c r="C43" s="69" t="s">
        <v>188</v>
      </c>
      <c r="D43" s="69" t="s">
        <v>16</v>
      </c>
      <c r="E43" s="69" t="s">
        <v>189</v>
      </c>
      <c r="F43" s="69">
        <v>17736872666</v>
      </c>
      <c r="G43" s="69" t="s">
        <v>190</v>
      </c>
      <c r="H43" s="69" t="s">
        <v>19</v>
      </c>
      <c r="I43" s="69" t="s">
        <v>20</v>
      </c>
      <c r="J43" s="69">
        <v>15283544454</v>
      </c>
      <c r="K43" s="69" t="s">
        <v>188</v>
      </c>
    </row>
    <row r="44" ht="30" customHeight="1" spans="1:11">
      <c r="A44" s="142" t="s">
        <v>191</v>
      </c>
      <c r="B44" s="143" t="s">
        <v>192</v>
      </c>
      <c r="C44" s="143" t="s">
        <v>193</v>
      </c>
      <c r="D44" s="69" t="s">
        <v>16</v>
      </c>
      <c r="E44" s="69" t="s">
        <v>194</v>
      </c>
      <c r="F44" s="69">
        <v>18113799888</v>
      </c>
      <c r="G44" s="69" t="s">
        <v>195</v>
      </c>
      <c r="H44" s="69" t="s">
        <v>196</v>
      </c>
      <c r="I44" s="69" t="s">
        <v>20</v>
      </c>
      <c r="J44" s="69">
        <v>15281422239</v>
      </c>
      <c r="K44" s="143" t="s">
        <v>193</v>
      </c>
    </row>
    <row r="45" ht="30" customHeight="1" spans="1:11">
      <c r="A45" s="142" t="s">
        <v>197</v>
      </c>
      <c r="B45" s="143" t="s">
        <v>198</v>
      </c>
      <c r="C45" s="143" t="s">
        <v>199</v>
      </c>
      <c r="D45" s="69" t="s">
        <v>16</v>
      </c>
      <c r="E45" s="69" t="s">
        <v>200</v>
      </c>
      <c r="F45" s="69">
        <v>18140377577</v>
      </c>
      <c r="G45" s="69" t="s">
        <v>201</v>
      </c>
      <c r="H45" s="69" t="s">
        <v>202</v>
      </c>
      <c r="I45" s="69" t="s">
        <v>20</v>
      </c>
      <c r="J45" s="69">
        <v>17738400717</v>
      </c>
      <c r="K45" s="143" t="s">
        <v>199</v>
      </c>
    </row>
    <row r="46" ht="30" customHeight="1" spans="1:11">
      <c r="A46" s="142" t="s">
        <v>203</v>
      </c>
      <c r="B46" s="143" t="s">
        <v>204</v>
      </c>
      <c r="C46" s="143" t="s">
        <v>205</v>
      </c>
      <c r="D46" s="69" t="s">
        <v>36</v>
      </c>
      <c r="E46" s="69" t="s">
        <v>20</v>
      </c>
      <c r="F46" s="69" t="s">
        <v>20</v>
      </c>
      <c r="G46" s="69" t="s">
        <v>20</v>
      </c>
      <c r="H46" s="69" t="s">
        <v>20</v>
      </c>
      <c r="I46" s="69" t="s">
        <v>20</v>
      </c>
      <c r="J46" s="69" t="s">
        <v>20</v>
      </c>
      <c r="K46" s="69" t="s">
        <v>20</v>
      </c>
    </row>
    <row r="47" ht="30" customHeight="1" spans="1:11">
      <c r="A47" s="142" t="s">
        <v>206</v>
      </c>
      <c r="B47" s="143" t="s">
        <v>207</v>
      </c>
      <c r="C47" s="143" t="s">
        <v>208</v>
      </c>
      <c r="D47" s="69" t="s">
        <v>36</v>
      </c>
      <c r="E47" s="69" t="s">
        <v>20</v>
      </c>
      <c r="F47" s="69" t="s">
        <v>20</v>
      </c>
      <c r="G47" s="69" t="s">
        <v>20</v>
      </c>
      <c r="H47" s="69" t="s">
        <v>20</v>
      </c>
      <c r="I47" s="69" t="s">
        <v>20</v>
      </c>
      <c r="J47" s="69" t="s">
        <v>20</v>
      </c>
      <c r="K47" s="69" t="s">
        <v>20</v>
      </c>
    </row>
    <row r="48" ht="30" customHeight="1" spans="1:11">
      <c r="A48" s="142" t="s">
        <v>209</v>
      </c>
      <c r="B48" s="143" t="s">
        <v>210</v>
      </c>
      <c r="C48" s="143" t="s">
        <v>211</v>
      </c>
      <c r="D48" s="69" t="s">
        <v>16</v>
      </c>
      <c r="E48" s="69" t="s">
        <v>212</v>
      </c>
      <c r="F48" s="69">
        <v>18384287337</v>
      </c>
      <c r="G48" s="69" t="s">
        <v>213</v>
      </c>
      <c r="H48" s="69" t="s">
        <v>214</v>
      </c>
      <c r="I48" s="69" t="s">
        <v>20</v>
      </c>
      <c r="J48" s="69">
        <v>18881922730</v>
      </c>
      <c r="K48" s="69" t="s">
        <v>211</v>
      </c>
    </row>
    <row r="49" ht="30" customHeight="1" spans="1:11">
      <c r="A49" s="142" t="s">
        <v>215</v>
      </c>
      <c r="B49" s="143" t="s">
        <v>216</v>
      </c>
      <c r="C49" s="143" t="s">
        <v>217</v>
      </c>
      <c r="D49" s="69" t="s">
        <v>36</v>
      </c>
      <c r="E49" s="69" t="s">
        <v>218</v>
      </c>
      <c r="F49" s="69">
        <v>19981510444</v>
      </c>
      <c r="G49" s="69" t="s">
        <v>20</v>
      </c>
      <c r="H49" s="69" t="s">
        <v>20</v>
      </c>
      <c r="I49" s="69" t="s">
        <v>20</v>
      </c>
      <c r="J49" s="69" t="s">
        <v>20</v>
      </c>
      <c r="K49" s="69" t="s">
        <v>20</v>
      </c>
    </row>
    <row r="50" ht="30" customHeight="1" spans="1:11">
      <c r="A50" s="142" t="s">
        <v>219</v>
      </c>
      <c r="B50" s="143" t="s">
        <v>220</v>
      </c>
      <c r="C50" s="143" t="s">
        <v>97</v>
      </c>
      <c r="D50" s="69" t="s">
        <v>16</v>
      </c>
      <c r="E50" s="69" t="s">
        <v>221</v>
      </c>
      <c r="F50" s="69">
        <v>19911700945</v>
      </c>
      <c r="G50" s="69" t="s">
        <v>222</v>
      </c>
      <c r="H50" s="69" t="s">
        <v>223</v>
      </c>
      <c r="I50" s="69" t="s">
        <v>20</v>
      </c>
      <c r="J50" s="69">
        <v>13183887812</v>
      </c>
      <c r="K50" s="69" t="s">
        <v>20</v>
      </c>
    </row>
    <row r="51" ht="30" customHeight="1" spans="1:11">
      <c r="A51" s="142" t="s">
        <v>224</v>
      </c>
      <c r="B51" s="143" t="s">
        <v>225</v>
      </c>
      <c r="C51" s="143" t="s">
        <v>60</v>
      </c>
      <c r="D51" s="69" t="s">
        <v>16</v>
      </c>
      <c r="E51" s="69" t="s">
        <v>226</v>
      </c>
      <c r="F51" s="69">
        <v>13568116692</v>
      </c>
      <c r="G51" s="69" t="s">
        <v>227</v>
      </c>
      <c r="H51" s="69" t="s">
        <v>228</v>
      </c>
      <c r="I51" s="69" t="s">
        <v>20</v>
      </c>
      <c r="J51" s="69">
        <v>18990987020</v>
      </c>
      <c r="K51" s="143" t="s">
        <v>60</v>
      </c>
    </row>
    <row r="52" ht="30" customHeight="1" spans="1:11">
      <c r="A52" s="142" t="s">
        <v>229</v>
      </c>
      <c r="B52" s="143" t="s">
        <v>230</v>
      </c>
      <c r="C52" s="143" t="s">
        <v>231</v>
      </c>
      <c r="D52" s="69" t="s">
        <v>36</v>
      </c>
      <c r="E52" s="69" t="s">
        <v>20</v>
      </c>
      <c r="F52" s="69" t="s">
        <v>20</v>
      </c>
      <c r="G52" s="69" t="s">
        <v>20</v>
      </c>
      <c r="H52" s="69" t="s">
        <v>20</v>
      </c>
      <c r="I52" s="69" t="s">
        <v>20</v>
      </c>
      <c r="J52" s="69" t="s">
        <v>20</v>
      </c>
      <c r="K52" s="69" t="s">
        <v>20</v>
      </c>
    </row>
    <row r="53" ht="30" customHeight="1" spans="1:11">
      <c r="A53" s="142" t="s">
        <v>232</v>
      </c>
      <c r="B53" s="143" t="s">
        <v>233</v>
      </c>
      <c r="C53" s="69" t="s">
        <v>20</v>
      </c>
      <c r="D53" s="69" t="s">
        <v>36</v>
      </c>
      <c r="E53" s="69" t="s">
        <v>20</v>
      </c>
      <c r="F53" s="69" t="s">
        <v>20</v>
      </c>
      <c r="G53" s="69" t="s">
        <v>20</v>
      </c>
      <c r="H53" s="69" t="s">
        <v>20</v>
      </c>
      <c r="I53" s="69" t="s">
        <v>20</v>
      </c>
      <c r="J53" s="69" t="s">
        <v>20</v>
      </c>
      <c r="K53" s="69" t="s">
        <v>20</v>
      </c>
    </row>
    <row r="54" ht="30" customHeight="1" spans="1:11">
      <c r="A54" s="142" t="s">
        <v>234</v>
      </c>
      <c r="B54" s="143" t="s">
        <v>235</v>
      </c>
      <c r="C54" s="143" t="s">
        <v>236</v>
      </c>
      <c r="D54" s="69" t="s">
        <v>16</v>
      </c>
      <c r="E54" s="69" t="s">
        <v>237</v>
      </c>
      <c r="F54" s="69">
        <v>19183112777</v>
      </c>
      <c r="G54" s="69" t="s">
        <v>238</v>
      </c>
      <c r="H54" s="69" t="s">
        <v>239</v>
      </c>
      <c r="I54" s="69" t="s">
        <v>20</v>
      </c>
      <c r="J54" s="69">
        <v>17341883288</v>
      </c>
      <c r="K54" s="143" t="s">
        <v>236</v>
      </c>
    </row>
    <row r="55" ht="30" customHeight="1" spans="1:11">
      <c r="A55" s="142" t="s">
        <v>240</v>
      </c>
      <c r="B55" s="143" t="s">
        <v>241</v>
      </c>
      <c r="C55" s="143" t="s">
        <v>242</v>
      </c>
      <c r="D55" s="69" t="s">
        <v>16</v>
      </c>
      <c r="E55" s="69" t="s">
        <v>237</v>
      </c>
      <c r="F55" s="69">
        <v>19183112777</v>
      </c>
      <c r="G55" s="69" t="s">
        <v>243</v>
      </c>
      <c r="H55" s="69" t="s">
        <v>239</v>
      </c>
      <c r="I55" s="69" t="s">
        <v>20</v>
      </c>
      <c r="J55" s="69">
        <v>17341883288</v>
      </c>
      <c r="K55" s="143" t="s">
        <v>242</v>
      </c>
    </row>
    <row r="56" ht="30" customHeight="1" spans="1:11">
      <c r="A56" s="142" t="s">
        <v>244</v>
      </c>
      <c r="B56" s="143" t="s">
        <v>245</v>
      </c>
      <c r="C56" s="69" t="s">
        <v>246</v>
      </c>
      <c r="D56" s="69" t="s">
        <v>16</v>
      </c>
      <c r="E56" s="69" t="s">
        <v>247</v>
      </c>
      <c r="F56" s="158" t="s">
        <v>248</v>
      </c>
      <c r="G56" s="69" t="s">
        <v>249</v>
      </c>
      <c r="H56" s="69" t="s">
        <v>112</v>
      </c>
      <c r="I56" s="69" t="s">
        <v>20</v>
      </c>
      <c r="J56" s="69">
        <v>18113857666</v>
      </c>
      <c r="K56" s="69" t="s">
        <v>246</v>
      </c>
    </row>
    <row r="57" ht="30" customHeight="1" spans="1:11">
      <c r="A57" s="142" t="s">
        <v>250</v>
      </c>
      <c r="B57" s="143" t="s">
        <v>251</v>
      </c>
      <c r="C57" s="69" t="s">
        <v>252</v>
      </c>
      <c r="D57" s="69" t="s">
        <v>16</v>
      </c>
      <c r="E57" s="69" t="s">
        <v>253</v>
      </c>
      <c r="F57" s="69">
        <v>18140336958</v>
      </c>
      <c r="G57" s="69" t="s">
        <v>254</v>
      </c>
      <c r="H57" s="69" t="s">
        <v>255</v>
      </c>
      <c r="I57" s="69" t="s">
        <v>20</v>
      </c>
      <c r="J57" s="69">
        <v>14780888123</v>
      </c>
      <c r="K57" s="69" t="s">
        <v>252</v>
      </c>
    </row>
    <row r="58" ht="30" customHeight="1" spans="1:11">
      <c r="A58" s="142" t="s">
        <v>256</v>
      </c>
      <c r="B58" s="143" t="s">
        <v>257</v>
      </c>
      <c r="C58" s="69" t="s">
        <v>97</v>
      </c>
      <c r="D58" s="69" t="s">
        <v>16</v>
      </c>
      <c r="E58" s="69" t="s">
        <v>221</v>
      </c>
      <c r="F58" s="69">
        <v>18780275139</v>
      </c>
      <c r="G58" s="69" t="s">
        <v>258</v>
      </c>
      <c r="H58" s="69" t="s">
        <v>259</v>
      </c>
      <c r="I58" s="69" t="s">
        <v>20</v>
      </c>
      <c r="J58" s="69">
        <v>15984948138</v>
      </c>
      <c r="K58" s="69" t="s">
        <v>260</v>
      </c>
    </row>
    <row r="59" ht="30" customHeight="1" spans="1:11">
      <c r="A59" s="142" t="s">
        <v>261</v>
      </c>
      <c r="B59" s="143" t="s">
        <v>262</v>
      </c>
      <c r="C59" s="69" t="s">
        <v>263</v>
      </c>
      <c r="D59" s="69" t="s">
        <v>16</v>
      </c>
      <c r="E59" s="69" t="s">
        <v>264</v>
      </c>
      <c r="F59" s="69">
        <v>15982854752</v>
      </c>
      <c r="G59" s="69" t="s">
        <v>265</v>
      </c>
      <c r="H59" s="69" t="s">
        <v>266</v>
      </c>
      <c r="I59" s="69" t="s">
        <v>20</v>
      </c>
      <c r="J59" s="69">
        <v>13981114290</v>
      </c>
      <c r="K59" s="69" t="s">
        <v>267</v>
      </c>
    </row>
    <row r="60" ht="30" customHeight="1" spans="1:11">
      <c r="A60" s="142" t="s">
        <v>268</v>
      </c>
      <c r="B60" s="143" t="s">
        <v>269</v>
      </c>
      <c r="C60" s="69" t="s">
        <v>20</v>
      </c>
      <c r="D60" s="69" t="s">
        <v>36</v>
      </c>
      <c r="E60" s="69" t="s">
        <v>20</v>
      </c>
      <c r="F60" s="69" t="s">
        <v>20</v>
      </c>
      <c r="G60" s="69" t="s">
        <v>20</v>
      </c>
      <c r="H60" s="69" t="s">
        <v>20</v>
      </c>
      <c r="I60" s="69" t="s">
        <v>20</v>
      </c>
      <c r="J60" s="69" t="s">
        <v>20</v>
      </c>
      <c r="K60" s="69" t="s">
        <v>20</v>
      </c>
    </row>
    <row r="61" ht="30" customHeight="1" spans="1:11">
      <c r="A61" s="142" t="s">
        <v>270</v>
      </c>
      <c r="B61" s="143" t="s">
        <v>271</v>
      </c>
      <c r="C61" s="143" t="s">
        <v>272</v>
      </c>
      <c r="D61" s="69" t="s">
        <v>36</v>
      </c>
      <c r="E61" s="69" t="s">
        <v>273</v>
      </c>
      <c r="F61" s="69">
        <v>18783188858</v>
      </c>
      <c r="G61" s="69" t="s">
        <v>20</v>
      </c>
      <c r="H61" s="69" t="s">
        <v>20</v>
      </c>
      <c r="I61" s="69" t="s">
        <v>20</v>
      </c>
      <c r="J61" s="69" t="s">
        <v>20</v>
      </c>
      <c r="K61" s="69" t="s">
        <v>20</v>
      </c>
    </row>
    <row r="62" ht="30" customHeight="1" spans="1:11">
      <c r="A62" s="142" t="s">
        <v>274</v>
      </c>
      <c r="B62" s="143" t="s">
        <v>275</v>
      </c>
      <c r="C62" s="69" t="s">
        <v>20</v>
      </c>
      <c r="D62" s="69" t="s">
        <v>36</v>
      </c>
      <c r="E62" s="69" t="s">
        <v>20</v>
      </c>
      <c r="F62" s="69" t="s">
        <v>20</v>
      </c>
      <c r="G62" s="69" t="s">
        <v>20</v>
      </c>
      <c r="H62" s="69" t="s">
        <v>20</v>
      </c>
      <c r="I62" s="69" t="s">
        <v>20</v>
      </c>
      <c r="J62" s="69" t="s">
        <v>20</v>
      </c>
      <c r="K62" s="69" t="s">
        <v>20</v>
      </c>
    </row>
    <row r="63" ht="30" customHeight="1" spans="1:11">
      <c r="A63" s="142" t="s">
        <v>276</v>
      </c>
      <c r="B63" s="143" t="s">
        <v>277</v>
      </c>
      <c r="C63" s="143" t="s">
        <v>185</v>
      </c>
      <c r="D63" s="69" t="s">
        <v>16</v>
      </c>
      <c r="E63" s="69" t="s">
        <v>278</v>
      </c>
      <c r="F63" s="69">
        <v>18583131855</v>
      </c>
      <c r="G63" s="69" t="s">
        <v>279</v>
      </c>
      <c r="H63" s="69" t="s">
        <v>280</v>
      </c>
      <c r="I63" s="69" t="s">
        <v>20</v>
      </c>
      <c r="J63" s="69">
        <v>1878412160</v>
      </c>
      <c r="K63" s="69" t="s">
        <v>185</v>
      </c>
    </row>
    <row r="64" ht="30" customHeight="1" spans="1:11">
      <c r="A64" s="142" t="s">
        <v>281</v>
      </c>
      <c r="B64" s="143" t="s">
        <v>282</v>
      </c>
      <c r="C64" s="69" t="s">
        <v>283</v>
      </c>
      <c r="D64" s="69" t="s">
        <v>16</v>
      </c>
      <c r="E64" s="69" t="s">
        <v>284</v>
      </c>
      <c r="F64" s="69">
        <v>13408318588</v>
      </c>
      <c r="G64" s="69" t="s">
        <v>249</v>
      </c>
      <c r="H64" s="69" t="s">
        <v>285</v>
      </c>
      <c r="I64" s="69" t="s">
        <v>20</v>
      </c>
      <c r="J64" s="69">
        <v>15293115283</v>
      </c>
      <c r="K64" s="69" t="s">
        <v>286</v>
      </c>
    </row>
    <row r="65" ht="30" customHeight="1" spans="1:11">
      <c r="A65" s="142" t="s">
        <v>287</v>
      </c>
      <c r="B65" s="143" t="s">
        <v>288</v>
      </c>
      <c r="C65" s="143" t="s">
        <v>193</v>
      </c>
      <c r="D65" s="69" t="s">
        <v>16</v>
      </c>
      <c r="E65" s="69" t="s">
        <v>289</v>
      </c>
      <c r="F65" s="69">
        <v>17782321338</v>
      </c>
      <c r="G65" s="69" t="s">
        <v>18</v>
      </c>
      <c r="H65" s="69" t="s">
        <v>290</v>
      </c>
      <c r="I65" s="69" t="s">
        <v>20</v>
      </c>
      <c r="J65" s="69">
        <v>15760063135</v>
      </c>
      <c r="K65" s="69" t="s">
        <v>193</v>
      </c>
    </row>
    <row r="66" ht="30" customHeight="1" spans="1:11">
      <c r="A66" s="142" t="s">
        <v>291</v>
      </c>
      <c r="B66" s="143" t="s">
        <v>292</v>
      </c>
      <c r="C66" s="143" t="s">
        <v>185</v>
      </c>
      <c r="D66" s="69" t="s">
        <v>16</v>
      </c>
      <c r="E66" s="33" t="s">
        <v>293</v>
      </c>
      <c r="F66" s="33">
        <v>19160070441</v>
      </c>
      <c r="G66" s="33" t="s">
        <v>294</v>
      </c>
      <c r="H66" s="33" t="s">
        <v>112</v>
      </c>
      <c r="I66" s="69" t="s">
        <v>20</v>
      </c>
      <c r="J66" s="33">
        <v>18113857666</v>
      </c>
      <c r="K66" s="143" t="s">
        <v>185</v>
      </c>
    </row>
    <row r="67" ht="30" customHeight="1" spans="1:11">
      <c r="A67" s="142" t="s">
        <v>295</v>
      </c>
      <c r="B67" s="33" t="s">
        <v>296</v>
      </c>
      <c r="C67" s="143" t="s">
        <v>185</v>
      </c>
      <c r="D67" s="69" t="s">
        <v>16</v>
      </c>
      <c r="E67" s="33" t="s">
        <v>297</v>
      </c>
      <c r="F67" s="33">
        <v>13158775999</v>
      </c>
      <c r="G67" s="33" t="s">
        <v>298</v>
      </c>
      <c r="H67" s="33" t="s">
        <v>239</v>
      </c>
      <c r="I67" s="69" t="s">
        <v>20</v>
      </c>
      <c r="J67" s="33">
        <v>17341883288</v>
      </c>
      <c r="K67" s="143" t="s">
        <v>185</v>
      </c>
    </row>
    <row r="68" ht="30" customHeight="1" spans="1:11">
      <c r="A68" s="142" t="s">
        <v>299</v>
      </c>
      <c r="B68" s="33" t="s">
        <v>300</v>
      </c>
      <c r="C68" s="33" t="s">
        <v>301</v>
      </c>
      <c r="D68" s="69" t="s">
        <v>16</v>
      </c>
      <c r="E68" s="33" t="s">
        <v>302</v>
      </c>
      <c r="F68" s="33">
        <v>13896069215</v>
      </c>
      <c r="G68" s="33" t="s">
        <v>303</v>
      </c>
      <c r="H68" s="33" t="s">
        <v>304</v>
      </c>
      <c r="I68" s="69" t="s">
        <v>20</v>
      </c>
      <c r="J68" s="33">
        <v>18708140311</v>
      </c>
      <c r="K68" s="33" t="s">
        <v>305</v>
      </c>
    </row>
    <row r="69" ht="30" customHeight="1" spans="1:11">
      <c r="A69" s="142" t="s">
        <v>306</v>
      </c>
      <c r="B69" s="143" t="s">
        <v>307</v>
      </c>
      <c r="C69" s="143" t="s">
        <v>308</v>
      </c>
      <c r="D69" s="69" t="s">
        <v>16</v>
      </c>
      <c r="E69" s="33" t="s">
        <v>309</v>
      </c>
      <c r="F69" s="33">
        <v>18523013829</v>
      </c>
      <c r="G69" s="143" t="s">
        <v>308</v>
      </c>
      <c r="H69" s="33" t="s">
        <v>310</v>
      </c>
      <c r="I69" s="69" t="s">
        <v>20</v>
      </c>
      <c r="J69" s="33">
        <v>18715825789</v>
      </c>
      <c r="K69" s="33" t="s">
        <v>193</v>
      </c>
    </row>
    <row r="70" ht="30" customHeight="1" spans="1:11">
      <c r="A70" s="142" t="s">
        <v>311</v>
      </c>
      <c r="B70" s="143" t="s">
        <v>312</v>
      </c>
      <c r="C70" s="143" t="s">
        <v>111</v>
      </c>
      <c r="D70" s="69" t="s">
        <v>16</v>
      </c>
      <c r="E70" s="33" t="s">
        <v>313</v>
      </c>
      <c r="F70" s="33">
        <v>15680390123</v>
      </c>
      <c r="G70" s="33" t="s">
        <v>314</v>
      </c>
      <c r="H70" s="33" t="s">
        <v>315</v>
      </c>
      <c r="I70" s="69" t="s">
        <v>20</v>
      </c>
      <c r="J70" s="33">
        <v>13795980397</v>
      </c>
      <c r="K70" s="33" t="s">
        <v>316</v>
      </c>
    </row>
    <row r="71" ht="30" customHeight="1" spans="1:11">
      <c r="A71" s="142" t="s">
        <v>317</v>
      </c>
      <c r="B71" s="143" t="s">
        <v>318</v>
      </c>
      <c r="C71" s="143" t="s">
        <v>111</v>
      </c>
      <c r="D71" s="69" t="s">
        <v>16</v>
      </c>
      <c r="E71" s="33" t="s">
        <v>319</v>
      </c>
      <c r="F71" s="33">
        <v>13890969723</v>
      </c>
      <c r="G71" s="33" t="s">
        <v>320</v>
      </c>
      <c r="H71" s="33" t="s">
        <v>321</v>
      </c>
      <c r="I71" s="69" t="s">
        <v>20</v>
      </c>
      <c r="J71" s="33">
        <v>13558958125</v>
      </c>
      <c r="K71" s="69" t="s">
        <v>177</v>
      </c>
    </row>
    <row r="72" ht="30" customHeight="1" spans="1:11">
      <c r="A72" s="142" t="s">
        <v>322</v>
      </c>
      <c r="B72" s="33" t="s">
        <v>323</v>
      </c>
      <c r="C72" s="33" t="s">
        <v>324</v>
      </c>
      <c r="D72" s="69" t="s">
        <v>16</v>
      </c>
      <c r="E72" s="33" t="s">
        <v>325</v>
      </c>
      <c r="F72" s="33">
        <v>13117476288</v>
      </c>
      <c r="G72" s="33" t="s">
        <v>326</v>
      </c>
      <c r="H72" s="33" t="s">
        <v>327</v>
      </c>
      <c r="I72" s="69" t="s">
        <v>20</v>
      </c>
      <c r="J72" s="33">
        <v>18161099108</v>
      </c>
      <c r="K72" s="33" t="s">
        <v>324</v>
      </c>
    </row>
    <row r="73" ht="30" customHeight="1" spans="1:11">
      <c r="A73" s="142" t="s">
        <v>328</v>
      </c>
      <c r="B73" s="33" t="s">
        <v>144</v>
      </c>
      <c r="C73" s="33" t="s">
        <v>329</v>
      </c>
      <c r="D73" s="69" t="s">
        <v>36</v>
      </c>
      <c r="E73" s="69" t="s">
        <v>20</v>
      </c>
      <c r="F73" s="69" t="s">
        <v>20</v>
      </c>
      <c r="G73" s="69" t="s">
        <v>20</v>
      </c>
      <c r="H73" s="69" t="s">
        <v>20</v>
      </c>
      <c r="I73" s="69" t="s">
        <v>20</v>
      </c>
      <c r="J73" s="69" t="s">
        <v>20</v>
      </c>
      <c r="K73" s="69" t="s">
        <v>20</v>
      </c>
    </row>
    <row r="74" ht="30" customHeight="1" spans="1:11">
      <c r="A74" s="142" t="s">
        <v>330</v>
      </c>
      <c r="B74" s="143" t="s">
        <v>331</v>
      </c>
      <c r="C74" s="143" t="s">
        <v>107</v>
      </c>
      <c r="D74" s="69" t="s">
        <v>16</v>
      </c>
      <c r="E74" s="33" t="s">
        <v>189</v>
      </c>
      <c r="F74" s="33">
        <v>17736872666</v>
      </c>
      <c r="G74" s="143" t="s">
        <v>332</v>
      </c>
      <c r="H74" s="33" t="s">
        <v>196</v>
      </c>
      <c r="I74" s="69" t="s">
        <v>20</v>
      </c>
      <c r="J74" s="69">
        <v>15281422239</v>
      </c>
      <c r="K74" s="33" t="s">
        <v>188</v>
      </c>
    </row>
    <row r="75" ht="30" customHeight="1" spans="1:11">
      <c r="A75" s="142" t="s">
        <v>333</v>
      </c>
      <c r="B75" s="143" t="s">
        <v>334</v>
      </c>
      <c r="C75" s="143" t="s">
        <v>335</v>
      </c>
      <c r="D75" s="69" t="s">
        <v>16</v>
      </c>
      <c r="E75" s="33" t="s">
        <v>336</v>
      </c>
      <c r="F75" s="33">
        <v>15983113255</v>
      </c>
      <c r="G75" s="33" t="s">
        <v>337</v>
      </c>
      <c r="H75" s="33" t="s">
        <v>338</v>
      </c>
      <c r="I75" s="69" t="s">
        <v>20</v>
      </c>
      <c r="J75" s="33">
        <v>18990923367</v>
      </c>
      <c r="K75" s="33" t="s">
        <v>339</v>
      </c>
    </row>
    <row r="76" ht="30" customHeight="1" spans="1:11">
      <c r="A76" s="142" t="s">
        <v>340</v>
      </c>
      <c r="B76" s="143" t="s">
        <v>341</v>
      </c>
      <c r="C76" s="147" t="s">
        <v>154</v>
      </c>
      <c r="D76" s="69" t="s">
        <v>36</v>
      </c>
      <c r="E76" s="69" t="s">
        <v>20</v>
      </c>
      <c r="F76" s="69" t="s">
        <v>20</v>
      </c>
      <c r="G76" s="69" t="s">
        <v>20</v>
      </c>
      <c r="H76" s="69" t="s">
        <v>20</v>
      </c>
      <c r="I76" s="69" t="s">
        <v>20</v>
      </c>
      <c r="J76" s="69" t="s">
        <v>20</v>
      </c>
      <c r="K76" s="69" t="s">
        <v>20</v>
      </c>
    </row>
    <row r="77" ht="30" customHeight="1" spans="1:11">
      <c r="A77" s="142" t="s">
        <v>342</v>
      </c>
      <c r="B77" s="143" t="s">
        <v>343</v>
      </c>
      <c r="C77" s="69" t="s">
        <v>20</v>
      </c>
      <c r="D77" s="69" t="s">
        <v>36</v>
      </c>
      <c r="E77" s="69" t="s">
        <v>20</v>
      </c>
      <c r="F77" s="69" t="s">
        <v>20</v>
      </c>
      <c r="G77" s="69" t="s">
        <v>20</v>
      </c>
      <c r="H77" s="69" t="s">
        <v>20</v>
      </c>
      <c r="I77" s="69" t="s">
        <v>20</v>
      </c>
      <c r="J77" s="69" t="s">
        <v>20</v>
      </c>
      <c r="K77" s="69" t="s">
        <v>20</v>
      </c>
    </row>
    <row r="78" ht="30" customHeight="1" spans="1:11">
      <c r="A78" s="142" t="s">
        <v>344</v>
      </c>
      <c r="B78" s="143" t="s">
        <v>345</v>
      </c>
      <c r="C78" s="33" t="s">
        <v>346</v>
      </c>
      <c r="D78" s="69" t="s">
        <v>16</v>
      </c>
      <c r="E78" s="33" t="s">
        <v>347</v>
      </c>
      <c r="F78" s="33">
        <v>18140331289</v>
      </c>
      <c r="G78" s="33" t="s">
        <v>249</v>
      </c>
      <c r="H78" s="33" t="s">
        <v>348</v>
      </c>
      <c r="I78" s="33"/>
      <c r="J78" s="33">
        <v>15884136523</v>
      </c>
      <c r="K78" s="33" t="s">
        <v>349</v>
      </c>
    </row>
    <row r="79" ht="30" customHeight="1" spans="1:11">
      <c r="A79" s="142" t="s">
        <v>350</v>
      </c>
      <c r="B79" s="143" t="s">
        <v>351</v>
      </c>
      <c r="C79" s="69" t="s">
        <v>20</v>
      </c>
      <c r="D79" s="69" t="s">
        <v>36</v>
      </c>
      <c r="E79" s="69" t="s">
        <v>20</v>
      </c>
      <c r="F79" s="69" t="s">
        <v>20</v>
      </c>
      <c r="G79" s="69" t="s">
        <v>20</v>
      </c>
      <c r="H79" s="69" t="s">
        <v>20</v>
      </c>
      <c r="I79" s="69" t="s">
        <v>20</v>
      </c>
      <c r="J79" s="69" t="s">
        <v>20</v>
      </c>
      <c r="K79" s="69" t="s">
        <v>20</v>
      </c>
    </row>
    <row r="80" ht="30" customHeight="1" spans="1:11">
      <c r="A80" s="142" t="s">
        <v>352</v>
      </c>
      <c r="B80" s="143" t="s">
        <v>353</v>
      </c>
      <c r="C80" s="143" t="s">
        <v>252</v>
      </c>
      <c r="D80" s="69" t="s">
        <v>16</v>
      </c>
      <c r="E80" s="69" t="s">
        <v>253</v>
      </c>
      <c r="F80" s="69">
        <v>18140336958</v>
      </c>
      <c r="G80" s="69" t="s">
        <v>354</v>
      </c>
      <c r="H80" s="69" t="s">
        <v>255</v>
      </c>
      <c r="I80" s="69"/>
      <c r="J80" s="69">
        <v>14780888123</v>
      </c>
      <c r="K80" s="69" t="s">
        <v>252</v>
      </c>
    </row>
    <row r="81" ht="30" customHeight="1" spans="1:11">
      <c r="A81" s="142" t="s">
        <v>355</v>
      </c>
      <c r="B81" s="143" t="s">
        <v>356</v>
      </c>
      <c r="C81" s="143" t="s">
        <v>357</v>
      </c>
      <c r="D81" s="69" t="s">
        <v>36</v>
      </c>
      <c r="E81" s="69" t="s">
        <v>20</v>
      </c>
      <c r="F81" s="69" t="s">
        <v>20</v>
      </c>
      <c r="G81" s="69" t="s">
        <v>20</v>
      </c>
      <c r="H81" s="69" t="s">
        <v>20</v>
      </c>
      <c r="I81" s="69" t="s">
        <v>20</v>
      </c>
      <c r="J81" s="69" t="s">
        <v>20</v>
      </c>
      <c r="K81" s="69" t="s">
        <v>20</v>
      </c>
    </row>
    <row r="82" ht="30" customHeight="1" spans="1:11">
      <c r="A82" s="142" t="s">
        <v>358</v>
      </c>
      <c r="B82" s="143" t="s">
        <v>359</v>
      </c>
      <c r="C82" s="69" t="s">
        <v>20</v>
      </c>
      <c r="D82" s="69" t="s">
        <v>36</v>
      </c>
      <c r="E82" s="69" t="s">
        <v>20</v>
      </c>
      <c r="F82" s="69" t="s">
        <v>20</v>
      </c>
      <c r="G82" s="69" t="s">
        <v>20</v>
      </c>
      <c r="H82" s="69" t="s">
        <v>20</v>
      </c>
      <c r="I82" s="69" t="s">
        <v>20</v>
      </c>
      <c r="J82" s="69" t="s">
        <v>20</v>
      </c>
      <c r="K82" s="69" t="s">
        <v>20</v>
      </c>
    </row>
    <row r="83" ht="30" customHeight="1" spans="1:11">
      <c r="A83" s="142" t="s">
        <v>360</v>
      </c>
      <c r="B83" s="143" t="s">
        <v>361</v>
      </c>
      <c r="C83" s="147" t="s">
        <v>107</v>
      </c>
      <c r="D83" s="69" t="s">
        <v>16</v>
      </c>
      <c r="E83" s="33" t="s">
        <v>362</v>
      </c>
      <c r="F83" s="33">
        <v>15881369669</v>
      </c>
      <c r="G83" s="33" t="s">
        <v>363</v>
      </c>
      <c r="H83" s="33" t="s">
        <v>364</v>
      </c>
      <c r="I83" s="69" t="s">
        <v>20</v>
      </c>
      <c r="J83" s="33">
        <v>14726783313</v>
      </c>
      <c r="K83" s="33" t="s">
        <v>365</v>
      </c>
    </row>
    <row r="84" ht="30" customHeight="1" spans="1:11">
      <c r="A84" s="142" t="s">
        <v>366</v>
      </c>
      <c r="B84" s="143" t="s">
        <v>367</v>
      </c>
      <c r="C84" s="147" t="s">
        <v>368</v>
      </c>
      <c r="D84" s="69" t="s">
        <v>16</v>
      </c>
      <c r="E84" s="33" t="s">
        <v>369</v>
      </c>
      <c r="F84" s="33">
        <v>18990943888</v>
      </c>
      <c r="G84" s="33" t="s">
        <v>370</v>
      </c>
      <c r="H84" s="33" t="s">
        <v>290</v>
      </c>
      <c r="I84" s="69" t="s">
        <v>20</v>
      </c>
      <c r="J84" s="33">
        <v>15760063135</v>
      </c>
      <c r="K84" s="33" t="s">
        <v>349</v>
      </c>
    </row>
    <row r="85" ht="30" customHeight="1" spans="1:11">
      <c r="A85" s="142" t="s">
        <v>371</v>
      </c>
      <c r="B85" s="143" t="s">
        <v>372</v>
      </c>
      <c r="C85" s="147" t="s">
        <v>373</v>
      </c>
      <c r="D85" s="69" t="s">
        <v>36</v>
      </c>
      <c r="E85" s="33" t="s">
        <v>374</v>
      </c>
      <c r="F85" s="33">
        <v>18990941203</v>
      </c>
      <c r="G85" s="69" t="s">
        <v>20</v>
      </c>
      <c r="H85" s="69" t="s">
        <v>20</v>
      </c>
      <c r="I85" s="69" t="s">
        <v>20</v>
      </c>
      <c r="J85" s="69" t="s">
        <v>20</v>
      </c>
      <c r="K85" s="69" t="s">
        <v>20</v>
      </c>
    </row>
    <row r="86" ht="30" customHeight="1" spans="1:11">
      <c r="A86" s="142" t="s">
        <v>375</v>
      </c>
      <c r="B86" s="143" t="s">
        <v>376</v>
      </c>
      <c r="C86" s="147" t="s">
        <v>107</v>
      </c>
      <c r="D86" s="69" t="s">
        <v>16</v>
      </c>
      <c r="E86" s="33" t="s">
        <v>377</v>
      </c>
      <c r="F86" s="33">
        <v>15983140863</v>
      </c>
      <c r="G86" s="33" t="s">
        <v>378</v>
      </c>
      <c r="H86" s="33" t="s">
        <v>19</v>
      </c>
      <c r="I86" s="69" t="s">
        <v>20</v>
      </c>
      <c r="J86" s="69">
        <v>15283544454</v>
      </c>
      <c r="K86" s="33" t="s">
        <v>379</v>
      </c>
    </row>
    <row r="87" ht="30" customHeight="1" spans="1:11">
      <c r="A87" s="148" t="s">
        <v>380</v>
      </c>
      <c r="B87" s="149" t="s">
        <v>381</v>
      </c>
      <c r="C87" s="150" t="s">
        <v>193</v>
      </c>
      <c r="D87" s="150" t="s">
        <v>16</v>
      </c>
      <c r="E87" s="150" t="s">
        <v>382</v>
      </c>
      <c r="F87" s="150">
        <v>13383646637</v>
      </c>
      <c r="G87" s="150" t="s">
        <v>383</v>
      </c>
      <c r="H87" s="150" t="s">
        <v>384</v>
      </c>
      <c r="I87" s="150" t="s">
        <v>20</v>
      </c>
      <c r="J87" s="150">
        <v>15067771466</v>
      </c>
      <c r="K87" s="150" t="s">
        <v>385</v>
      </c>
    </row>
    <row r="88" ht="30" customHeight="1" spans="1:11">
      <c r="A88" s="142" t="s">
        <v>386</v>
      </c>
      <c r="B88" s="143" t="s">
        <v>144</v>
      </c>
      <c r="C88" s="69" t="s">
        <v>387</v>
      </c>
      <c r="D88" s="69" t="s">
        <v>36</v>
      </c>
      <c r="E88" s="69" t="s">
        <v>24</v>
      </c>
      <c r="F88" s="69">
        <v>13330660035</v>
      </c>
      <c r="G88" s="69" t="s">
        <v>20</v>
      </c>
      <c r="H88" s="69" t="s">
        <v>20</v>
      </c>
      <c r="I88" s="69" t="s">
        <v>20</v>
      </c>
      <c r="J88" s="69" t="s">
        <v>20</v>
      </c>
      <c r="K88" s="69" t="s">
        <v>20</v>
      </c>
    </row>
    <row r="89" ht="30" customHeight="1" spans="1:11">
      <c r="A89" s="142" t="s">
        <v>388</v>
      </c>
      <c r="B89" s="143" t="s">
        <v>144</v>
      </c>
      <c r="C89" s="69" t="s">
        <v>389</v>
      </c>
      <c r="D89" s="69" t="s">
        <v>36</v>
      </c>
      <c r="E89" s="69" t="s">
        <v>24</v>
      </c>
      <c r="F89" s="69">
        <v>13330660035</v>
      </c>
      <c r="G89" s="69" t="s">
        <v>20</v>
      </c>
      <c r="H89" s="69" t="s">
        <v>20</v>
      </c>
      <c r="I89" s="69" t="s">
        <v>20</v>
      </c>
      <c r="J89" s="69" t="s">
        <v>20</v>
      </c>
      <c r="K89" s="69" t="s">
        <v>20</v>
      </c>
    </row>
    <row r="90" ht="30" customHeight="1" spans="1:11">
      <c r="A90" s="142" t="s">
        <v>390</v>
      </c>
      <c r="B90" s="143" t="s">
        <v>391</v>
      </c>
      <c r="C90" s="69" t="s">
        <v>392</v>
      </c>
      <c r="D90" s="69" t="s">
        <v>16</v>
      </c>
      <c r="E90" s="69" t="s">
        <v>393</v>
      </c>
      <c r="F90" s="69">
        <v>18190569988</v>
      </c>
      <c r="G90" s="69" t="s">
        <v>394</v>
      </c>
      <c r="H90" s="69" t="s">
        <v>395</v>
      </c>
      <c r="I90" s="69" t="s">
        <v>20</v>
      </c>
      <c r="J90" s="69" t="s">
        <v>20</v>
      </c>
      <c r="K90" s="69" t="s">
        <v>392</v>
      </c>
    </row>
    <row r="91" ht="30" customHeight="1" spans="1:11">
      <c r="A91" s="142" t="s">
        <v>396</v>
      </c>
      <c r="B91" s="143" t="s">
        <v>397</v>
      </c>
      <c r="C91" s="69" t="s">
        <v>398</v>
      </c>
      <c r="D91" s="69" t="s">
        <v>16</v>
      </c>
      <c r="E91" s="69" t="s">
        <v>399</v>
      </c>
      <c r="F91" s="69">
        <v>18081384781</v>
      </c>
      <c r="G91" s="69" t="s">
        <v>400</v>
      </c>
      <c r="H91" s="69" t="s">
        <v>401</v>
      </c>
      <c r="I91" s="69" t="s">
        <v>20</v>
      </c>
      <c r="J91" s="69">
        <v>18783140690</v>
      </c>
      <c r="K91" s="69" t="s">
        <v>402</v>
      </c>
    </row>
    <row r="92" ht="30" customHeight="1" spans="1:11">
      <c r="A92" s="142" t="s">
        <v>403</v>
      </c>
      <c r="B92" s="143" t="s">
        <v>404</v>
      </c>
      <c r="C92" s="69" t="s">
        <v>23</v>
      </c>
      <c r="D92" s="69" t="s">
        <v>16</v>
      </c>
      <c r="E92" s="69" t="s">
        <v>405</v>
      </c>
      <c r="F92" s="69">
        <v>18081384781</v>
      </c>
      <c r="G92" s="69" t="s">
        <v>406</v>
      </c>
      <c r="H92" s="69" t="s">
        <v>407</v>
      </c>
      <c r="I92" s="69" t="s">
        <v>20</v>
      </c>
      <c r="J92" s="69">
        <v>18783140690</v>
      </c>
      <c r="K92" s="69" t="s">
        <v>23</v>
      </c>
    </row>
    <row r="93" ht="30" customHeight="1" spans="1:11">
      <c r="A93" s="142" t="s">
        <v>408</v>
      </c>
      <c r="B93" s="143" t="s">
        <v>409</v>
      </c>
      <c r="C93" s="69"/>
      <c r="D93" s="69" t="s">
        <v>36</v>
      </c>
      <c r="E93" s="69"/>
      <c r="F93" s="69"/>
      <c r="G93" s="69"/>
      <c r="H93" s="69"/>
      <c r="I93" s="69"/>
      <c r="J93" s="69"/>
      <c r="K93" s="69"/>
    </row>
    <row r="94" ht="30" customHeight="1" spans="1:11">
      <c r="A94" s="142" t="s">
        <v>410</v>
      </c>
      <c r="B94" s="143" t="s">
        <v>411</v>
      </c>
      <c r="C94" s="69" t="s">
        <v>412</v>
      </c>
      <c r="D94" s="69" t="s">
        <v>36</v>
      </c>
      <c r="E94" s="69" t="s">
        <v>413</v>
      </c>
      <c r="F94" s="69">
        <v>18140292711</v>
      </c>
      <c r="G94" s="69" t="s">
        <v>20</v>
      </c>
      <c r="H94" s="69" t="s">
        <v>20</v>
      </c>
      <c r="I94" s="69" t="s">
        <v>20</v>
      </c>
      <c r="J94" s="69" t="s">
        <v>20</v>
      </c>
      <c r="K94" s="69" t="s">
        <v>412</v>
      </c>
    </row>
    <row r="95" ht="30" customHeight="1" spans="1:11">
      <c r="A95" s="142" t="s">
        <v>414</v>
      </c>
      <c r="B95" s="143" t="s">
        <v>415</v>
      </c>
      <c r="C95" s="69" t="s">
        <v>416</v>
      </c>
      <c r="D95" s="69" t="s">
        <v>16</v>
      </c>
      <c r="E95" s="69" t="s">
        <v>417</v>
      </c>
      <c r="F95" s="69">
        <v>15283535958</v>
      </c>
      <c r="G95" s="69" t="s">
        <v>294</v>
      </c>
      <c r="H95" s="69" t="s">
        <v>418</v>
      </c>
      <c r="I95" s="69" t="s">
        <v>20</v>
      </c>
      <c r="J95" s="69">
        <v>18990944173</v>
      </c>
      <c r="K95" s="69" t="s">
        <v>416</v>
      </c>
    </row>
    <row r="96" ht="30" customHeight="1" spans="1:11">
      <c r="A96" s="142" t="s">
        <v>419</v>
      </c>
      <c r="B96" s="69" t="s">
        <v>420</v>
      </c>
      <c r="C96" s="69" t="s">
        <v>421</v>
      </c>
      <c r="D96" s="69" t="s">
        <v>16</v>
      </c>
      <c r="E96" s="69" t="s">
        <v>422</v>
      </c>
      <c r="F96" s="69">
        <v>13880170408</v>
      </c>
      <c r="G96" s="69" t="s">
        <v>423</v>
      </c>
      <c r="H96" s="69" t="s">
        <v>424</v>
      </c>
      <c r="I96" s="69">
        <v>563</v>
      </c>
      <c r="J96" s="69">
        <v>15308031180</v>
      </c>
      <c r="K96" s="69" t="s">
        <v>421</v>
      </c>
    </row>
    <row r="97" ht="30" customHeight="1" spans="1:11">
      <c r="A97" s="142" t="s">
        <v>425</v>
      </c>
      <c r="B97" s="69" t="s">
        <v>426</v>
      </c>
      <c r="C97" s="69" t="s">
        <v>427</v>
      </c>
      <c r="D97" s="69" t="s">
        <v>36</v>
      </c>
      <c r="E97" s="69" t="s">
        <v>428</v>
      </c>
      <c r="F97" s="69"/>
      <c r="G97" s="69"/>
      <c r="H97" s="69"/>
      <c r="I97" s="69"/>
      <c r="J97" s="69"/>
      <c r="K97" s="69"/>
    </row>
    <row r="98" ht="30" customHeight="1" spans="1:11">
      <c r="A98" s="148" t="s">
        <v>429</v>
      </c>
      <c r="B98" s="150" t="s">
        <v>430</v>
      </c>
      <c r="C98" s="150" t="s">
        <v>431</v>
      </c>
      <c r="D98" s="150" t="s">
        <v>16</v>
      </c>
      <c r="E98" s="150" t="s">
        <v>432</v>
      </c>
      <c r="F98" s="150">
        <v>15908499078</v>
      </c>
      <c r="G98" s="150" t="s">
        <v>433</v>
      </c>
      <c r="H98" s="150" t="s">
        <v>434</v>
      </c>
      <c r="I98" s="150"/>
      <c r="J98" s="150">
        <v>15884717579</v>
      </c>
      <c r="K98" s="150" t="s">
        <v>435</v>
      </c>
    </row>
    <row r="99" ht="30" customHeight="1" spans="1:11">
      <c r="A99" s="148" t="s">
        <v>436</v>
      </c>
      <c r="B99" s="150" t="s">
        <v>437</v>
      </c>
      <c r="C99" s="150" t="s">
        <v>438</v>
      </c>
      <c r="D99" s="150" t="s">
        <v>16</v>
      </c>
      <c r="E99" s="150" t="s">
        <v>439</v>
      </c>
      <c r="F99" s="150">
        <v>13679699388</v>
      </c>
      <c r="G99" s="150" t="s">
        <v>440</v>
      </c>
      <c r="H99" s="150" t="s">
        <v>441</v>
      </c>
      <c r="I99" s="150"/>
      <c r="J99" s="150">
        <v>18283162686</v>
      </c>
      <c r="K99" s="150" t="s">
        <v>442</v>
      </c>
    </row>
    <row r="100" ht="30" customHeight="1" spans="1:11">
      <c r="A100" s="148" t="s">
        <v>443</v>
      </c>
      <c r="B100" s="150" t="s">
        <v>444</v>
      </c>
      <c r="C100" s="150" t="s">
        <v>438</v>
      </c>
      <c r="D100" s="150" t="s">
        <v>16</v>
      </c>
      <c r="E100" s="150" t="s">
        <v>445</v>
      </c>
      <c r="F100" s="150">
        <v>13684151488</v>
      </c>
      <c r="G100" s="150" t="s">
        <v>446</v>
      </c>
      <c r="H100" s="150" t="s">
        <v>447</v>
      </c>
      <c r="I100" s="150"/>
      <c r="J100" s="150">
        <v>15281446551</v>
      </c>
      <c r="K100" s="150" t="s">
        <v>448</v>
      </c>
    </row>
    <row r="101" ht="30" customHeight="1" spans="1:11">
      <c r="A101" s="148" t="s">
        <v>449</v>
      </c>
      <c r="B101" s="150" t="s">
        <v>450</v>
      </c>
      <c r="C101" s="150" t="s">
        <v>431</v>
      </c>
      <c r="D101" s="150" t="s">
        <v>16</v>
      </c>
      <c r="E101" s="150" t="s">
        <v>451</v>
      </c>
      <c r="F101" s="150">
        <v>15309090836</v>
      </c>
      <c r="G101" s="150" t="s">
        <v>433</v>
      </c>
      <c r="H101" s="150" t="s">
        <v>434</v>
      </c>
      <c r="I101" s="150"/>
      <c r="J101" s="150">
        <v>15884717579</v>
      </c>
      <c r="K101" s="150" t="s">
        <v>452</v>
      </c>
    </row>
    <row r="102" ht="30" customHeight="1" spans="1:11">
      <c r="A102" s="151" t="s">
        <v>453</v>
      </c>
      <c r="B102" s="33" t="s">
        <v>454</v>
      </c>
      <c r="C102" s="33" t="s">
        <v>455</v>
      </c>
      <c r="D102" s="33" t="s">
        <v>16</v>
      </c>
      <c r="E102" s="33" t="s">
        <v>456</v>
      </c>
      <c r="F102" s="33">
        <v>15284163128</v>
      </c>
      <c r="G102" s="33" t="s">
        <v>457</v>
      </c>
      <c r="H102" s="33" t="s">
        <v>348</v>
      </c>
      <c r="I102" s="33"/>
      <c r="J102" s="33">
        <v>15884136523</v>
      </c>
      <c r="K102" s="33" t="s">
        <v>455</v>
      </c>
    </row>
    <row r="103" ht="30" customHeight="1" spans="1:11">
      <c r="A103" s="151" t="s">
        <v>458</v>
      </c>
      <c r="B103" s="33" t="s">
        <v>459</v>
      </c>
      <c r="C103" s="33" t="s">
        <v>157</v>
      </c>
      <c r="D103" s="33" t="s">
        <v>16</v>
      </c>
      <c r="E103" s="33" t="s">
        <v>460</v>
      </c>
      <c r="F103" s="159" t="s">
        <v>461</v>
      </c>
      <c r="G103" s="33" t="s">
        <v>423</v>
      </c>
      <c r="H103" s="33" t="s">
        <v>424</v>
      </c>
      <c r="I103" s="69">
        <v>563</v>
      </c>
      <c r="J103" s="69">
        <v>15308031180</v>
      </c>
      <c r="K103" s="33" t="s">
        <v>157</v>
      </c>
    </row>
    <row r="104" ht="30" customHeight="1" spans="1:11">
      <c r="A104" s="151" t="s">
        <v>462</v>
      </c>
      <c r="B104" s="33" t="s">
        <v>463</v>
      </c>
      <c r="C104" s="33" t="s">
        <v>435</v>
      </c>
      <c r="D104" s="33" t="s">
        <v>36</v>
      </c>
      <c r="E104" s="33" t="s">
        <v>464</v>
      </c>
      <c r="F104" s="69" t="s">
        <v>20</v>
      </c>
      <c r="G104" s="69" t="s">
        <v>20</v>
      </c>
      <c r="H104" s="69" t="s">
        <v>20</v>
      </c>
      <c r="I104" s="69" t="s">
        <v>20</v>
      </c>
      <c r="J104" s="69" t="s">
        <v>20</v>
      </c>
      <c r="K104" s="69" t="s">
        <v>20</v>
      </c>
    </row>
    <row r="105" ht="27" spans="1:11">
      <c r="A105" s="151" t="s">
        <v>465</v>
      </c>
      <c r="B105" s="33" t="s">
        <v>466</v>
      </c>
      <c r="C105" s="33" t="s">
        <v>467</v>
      </c>
      <c r="D105" s="33" t="s">
        <v>36</v>
      </c>
      <c r="E105" s="33" t="s">
        <v>468</v>
      </c>
      <c r="F105" s="33">
        <v>18990933666</v>
      </c>
      <c r="G105" s="69" t="s">
        <v>20</v>
      </c>
      <c r="H105" s="69" t="s">
        <v>20</v>
      </c>
      <c r="I105" s="33"/>
      <c r="J105" s="69" t="s">
        <v>20</v>
      </c>
      <c r="K105" s="69" t="s">
        <v>20</v>
      </c>
    </row>
    <row r="106" ht="40.5" spans="1:11">
      <c r="A106" s="151" t="s">
        <v>469</v>
      </c>
      <c r="B106" s="33" t="s">
        <v>470</v>
      </c>
      <c r="C106" s="33" t="s">
        <v>339</v>
      </c>
      <c r="D106" s="33" t="s">
        <v>16</v>
      </c>
      <c r="E106" s="33" t="s">
        <v>471</v>
      </c>
      <c r="F106" s="33">
        <v>13990976248</v>
      </c>
      <c r="G106" s="33" t="s">
        <v>433</v>
      </c>
      <c r="H106" s="33" t="s">
        <v>472</v>
      </c>
      <c r="I106" s="33"/>
      <c r="J106" s="33">
        <v>18008062779</v>
      </c>
      <c r="K106" s="33" t="s">
        <v>339</v>
      </c>
    </row>
    <row r="107" ht="40.5" spans="1:11">
      <c r="A107" s="151" t="s">
        <v>473</v>
      </c>
      <c r="B107" s="33" t="s">
        <v>474</v>
      </c>
      <c r="C107" s="33" t="s">
        <v>15</v>
      </c>
      <c r="D107" s="33" t="s">
        <v>16</v>
      </c>
      <c r="E107" s="33" t="s">
        <v>475</v>
      </c>
      <c r="F107" s="33">
        <v>13989227132</v>
      </c>
      <c r="G107" s="33" t="s">
        <v>476</v>
      </c>
      <c r="H107" s="33" t="s">
        <v>477</v>
      </c>
      <c r="I107" s="33"/>
      <c r="J107" s="33">
        <v>18990913097</v>
      </c>
      <c r="K107" s="33" t="s">
        <v>15</v>
      </c>
    </row>
    <row r="108" ht="40.5" spans="1:11">
      <c r="A108" s="151" t="s">
        <v>478</v>
      </c>
      <c r="B108" s="33" t="s">
        <v>479</v>
      </c>
      <c r="C108" s="33" t="s">
        <v>480</v>
      </c>
      <c r="D108" s="33" t="s">
        <v>16</v>
      </c>
      <c r="E108" s="33" t="s">
        <v>471</v>
      </c>
      <c r="F108" s="33">
        <v>13990976248</v>
      </c>
      <c r="G108" s="33" t="s">
        <v>433</v>
      </c>
      <c r="H108" s="33" t="s">
        <v>472</v>
      </c>
      <c r="I108" s="33"/>
      <c r="J108" s="33">
        <v>18008062779</v>
      </c>
      <c r="K108" s="33" t="s">
        <v>480</v>
      </c>
    </row>
    <row r="109" ht="27" spans="1:11">
      <c r="A109" s="151" t="s">
        <v>481</v>
      </c>
      <c r="B109" s="33" t="s">
        <v>482</v>
      </c>
      <c r="C109" s="33" t="s">
        <v>483</v>
      </c>
      <c r="D109" s="33" t="s">
        <v>36</v>
      </c>
      <c r="E109" s="33" t="s">
        <v>484</v>
      </c>
      <c r="F109" s="33">
        <v>14780808530</v>
      </c>
      <c r="G109" s="69" t="s">
        <v>20</v>
      </c>
      <c r="H109" s="69" t="s">
        <v>20</v>
      </c>
      <c r="I109" s="33"/>
      <c r="J109" s="69" t="s">
        <v>20</v>
      </c>
      <c r="K109" s="33" t="s">
        <v>483</v>
      </c>
    </row>
    <row r="110" ht="27" spans="1:11">
      <c r="A110" s="151" t="s">
        <v>485</v>
      </c>
      <c r="B110" s="33" t="s">
        <v>486</v>
      </c>
      <c r="C110" s="33" t="s">
        <v>487</v>
      </c>
      <c r="D110" s="33" t="s">
        <v>36</v>
      </c>
      <c r="E110" s="33" t="s">
        <v>488</v>
      </c>
      <c r="F110" s="33">
        <v>13550895053</v>
      </c>
      <c r="G110" s="69" t="s">
        <v>20</v>
      </c>
      <c r="H110" s="69" t="s">
        <v>20</v>
      </c>
      <c r="I110" s="33"/>
      <c r="J110" s="69" t="s">
        <v>20</v>
      </c>
      <c r="K110" s="33" t="s">
        <v>487</v>
      </c>
    </row>
    <row r="111" ht="40.5" spans="1:11">
      <c r="A111" s="151" t="s">
        <v>489</v>
      </c>
      <c r="B111" s="33" t="s">
        <v>490</v>
      </c>
      <c r="C111" s="33" t="s">
        <v>491</v>
      </c>
      <c r="D111" s="33" t="s">
        <v>16</v>
      </c>
      <c r="E111" s="33" t="s">
        <v>492</v>
      </c>
      <c r="F111" s="33">
        <v>17323288028</v>
      </c>
      <c r="G111" s="33" t="s">
        <v>493</v>
      </c>
      <c r="H111" s="33" t="s">
        <v>494</v>
      </c>
      <c r="I111" s="33"/>
      <c r="J111" s="33">
        <v>18081398678</v>
      </c>
      <c r="K111" s="33" t="s">
        <v>491</v>
      </c>
    </row>
    <row r="112" ht="40.5" spans="1:11">
      <c r="A112" s="151" t="s">
        <v>495</v>
      </c>
      <c r="B112" s="33" t="s">
        <v>496</v>
      </c>
      <c r="C112" s="33" t="s">
        <v>497</v>
      </c>
      <c r="D112" s="33" t="s">
        <v>36</v>
      </c>
      <c r="E112" s="69" t="s">
        <v>20</v>
      </c>
      <c r="F112" s="69" t="s">
        <v>20</v>
      </c>
      <c r="G112" s="69" t="s">
        <v>20</v>
      </c>
      <c r="H112" s="69" t="s">
        <v>20</v>
      </c>
      <c r="I112" s="69" t="s">
        <v>20</v>
      </c>
      <c r="J112" s="69" t="s">
        <v>20</v>
      </c>
      <c r="K112" s="69" t="s">
        <v>20</v>
      </c>
    </row>
    <row r="113" ht="40.5" spans="1:11">
      <c r="A113" s="151" t="s">
        <v>498</v>
      </c>
      <c r="B113" s="33" t="s">
        <v>499</v>
      </c>
      <c r="C113" s="33" t="s">
        <v>500</v>
      </c>
      <c r="D113" s="33" t="s">
        <v>16</v>
      </c>
      <c r="E113" s="152" t="s">
        <v>501</v>
      </c>
      <c r="F113" s="152">
        <v>15985078577</v>
      </c>
      <c r="G113" s="33" t="s">
        <v>493</v>
      </c>
      <c r="H113" s="33" t="s">
        <v>494</v>
      </c>
      <c r="I113" s="33"/>
      <c r="J113" s="33">
        <v>18081398678</v>
      </c>
      <c r="K113" s="33" t="s">
        <v>500</v>
      </c>
    </row>
    <row r="114" ht="40.5" spans="1:11">
      <c r="A114" s="151" t="s">
        <v>502</v>
      </c>
      <c r="B114" s="33" t="s">
        <v>503</v>
      </c>
      <c r="C114" s="33" t="s">
        <v>435</v>
      </c>
      <c r="D114" s="33" t="s">
        <v>16</v>
      </c>
      <c r="E114" s="33" t="s">
        <v>504</v>
      </c>
      <c r="F114" s="33">
        <v>15320085515</v>
      </c>
      <c r="G114" s="33" t="s">
        <v>433</v>
      </c>
      <c r="H114" s="152" t="s">
        <v>505</v>
      </c>
      <c r="I114" s="33"/>
      <c r="J114" s="33">
        <v>15082460939</v>
      </c>
      <c r="K114" s="33" t="s">
        <v>435</v>
      </c>
    </row>
    <row r="115" spans="1:11">
      <c r="A115" s="151" t="s">
        <v>506</v>
      </c>
      <c r="B115" s="33" t="s">
        <v>507</v>
      </c>
      <c r="C115" s="69" t="s">
        <v>20</v>
      </c>
      <c r="D115" s="33" t="s">
        <v>36</v>
      </c>
      <c r="E115" s="69" t="s">
        <v>20</v>
      </c>
      <c r="F115" s="69" t="s">
        <v>20</v>
      </c>
      <c r="G115" s="69" t="s">
        <v>20</v>
      </c>
      <c r="H115" s="69" t="s">
        <v>20</v>
      </c>
      <c r="I115" s="69" t="s">
        <v>20</v>
      </c>
      <c r="J115" s="69" t="s">
        <v>20</v>
      </c>
      <c r="K115" s="69" t="s">
        <v>20</v>
      </c>
    </row>
    <row r="116" ht="27" spans="1:11">
      <c r="A116" s="151" t="s">
        <v>508</v>
      </c>
      <c r="B116" s="33" t="s">
        <v>509</v>
      </c>
      <c r="C116" s="100" t="s">
        <v>349</v>
      </c>
      <c r="D116" s="33" t="s">
        <v>16</v>
      </c>
      <c r="E116" s="152" t="s">
        <v>510</v>
      </c>
      <c r="F116" s="152">
        <v>18308121401</v>
      </c>
      <c r="G116" s="152" t="s">
        <v>18</v>
      </c>
      <c r="H116" s="152" t="s">
        <v>112</v>
      </c>
      <c r="I116" s="33"/>
      <c r="J116" s="152">
        <v>15328809720</v>
      </c>
      <c r="K116" s="100" t="s">
        <v>349</v>
      </c>
    </row>
    <row r="117" spans="1:11">
      <c r="A117" s="151" t="s">
        <v>511</v>
      </c>
      <c r="B117" s="33" t="s">
        <v>512</v>
      </c>
      <c r="C117" s="69" t="s">
        <v>20</v>
      </c>
      <c r="D117" s="33" t="s">
        <v>36</v>
      </c>
      <c r="E117" s="69" t="s">
        <v>20</v>
      </c>
      <c r="F117" s="69" t="s">
        <v>20</v>
      </c>
      <c r="G117" s="69" t="s">
        <v>20</v>
      </c>
      <c r="H117" s="69" t="s">
        <v>20</v>
      </c>
      <c r="I117" s="69" t="s">
        <v>20</v>
      </c>
      <c r="J117" s="69" t="s">
        <v>20</v>
      </c>
      <c r="K117" s="69" t="s">
        <v>20</v>
      </c>
    </row>
    <row r="118" ht="40.5" spans="1:11">
      <c r="A118" s="151" t="s">
        <v>513</v>
      </c>
      <c r="B118" s="33" t="s">
        <v>514</v>
      </c>
      <c r="C118" s="33" t="s">
        <v>515</v>
      </c>
      <c r="D118" s="33" t="s">
        <v>16</v>
      </c>
      <c r="E118" s="33" t="s">
        <v>516</v>
      </c>
      <c r="F118" s="33">
        <v>18182238027</v>
      </c>
      <c r="G118" s="33" t="s">
        <v>517</v>
      </c>
      <c r="H118" s="33" t="s">
        <v>518</v>
      </c>
      <c r="I118" s="33" t="s">
        <v>20</v>
      </c>
      <c r="J118" s="33">
        <v>15884846739</v>
      </c>
      <c r="K118" s="33" t="s">
        <v>515</v>
      </c>
    </row>
    <row r="119" ht="40.5" spans="1:11">
      <c r="A119" s="151" t="s">
        <v>519</v>
      </c>
      <c r="B119" s="33" t="s">
        <v>520</v>
      </c>
      <c r="C119" s="33" t="s">
        <v>15</v>
      </c>
      <c r="D119" s="33" t="s">
        <v>16</v>
      </c>
      <c r="E119" s="33" t="s">
        <v>405</v>
      </c>
      <c r="F119" s="33">
        <v>13330664300</v>
      </c>
      <c r="G119" s="33" t="s">
        <v>521</v>
      </c>
      <c r="H119" s="33" t="s">
        <v>522</v>
      </c>
      <c r="I119" s="33"/>
      <c r="J119" s="33">
        <v>13500054508</v>
      </c>
      <c r="K119" s="33" t="s">
        <v>15</v>
      </c>
    </row>
    <row r="120" ht="94.5" spans="1:11">
      <c r="A120" s="151" t="s">
        <v>523</v>
      </c>
      <c r="B120" s="33" t="s">
        <v>524</v>
      </c>
      <c r="C120" s="33" t="s">
        <v>525</v>
      </c>
      <c r="D120" s="33" t="s">
        <v>16</v>
      </c>
      <c r="E120" s="152" t="s">
        <v>526</v>
      </c>
      <c r="F120" s="33">
        <v>17760502078</v>
      </c>
      <c r="G120" s="33" t="s">
        <v>527</v>
      </c>
      <c r="H120" s="33" t="s">
        <v>528</v>
      </c>
      <c r="I120" s="33"/>
      <c r="J120" s="33">
        <v>13043678655</v>
      </c>
      <c r="K120" s="33" t="s">
        <v>525</v>
      </c>
    </row>
    <row r="121" ht="27" spans="1:11">
      <c r="A121" s="151" t="s">
        <v>529</v>
      </c>
      <c r="B121" s="33" t="s">
        <v>530</v>
      </c>
      <c r="C121" s="33" t="s">
        <v>531</v>
      </c>
      <c r="D121" s="33" t="s">
        <v>16</v>
      </c>
      <c r="E121" s="33" t="s">
        <v>532</v>
      </c>
      <c r="F121" s="33">
        <v>18783090993</v>
      </c>
      <c r="G121" s="33" t="s">
        <v>533</v>
      </c>
      <c r="H121" s="33" t="s">
        <v>534</v>
      </c>
      <c r="I121" s="33"/>
      <c r="J121" s="33">
        <v>15892938003</v>
      </c>
      <c r="K121" s="33" t="s">
        <v>531</v>
      </c>
    </row>
    <row r="122" ht="27" spans="1:11">
      <c r="A122" s="151" t="s">
        <v>535</v>
      </c>
      <c r="B122" s="33" t="s">
        <v>536</v>
      </c>
      <c r="C122" s="33" t="s">
        <v>537</v>
      </c>
      <c r="D122" s="33" t="s">
        <v>16</v>
      </c>
      <c r="E122" s="33" t="s">
        <v>538</v>
      </c>
      <c r="F122" s="33">
        <v>18990941203</v>
      </c>
      <c r="G122" s="33" t="s">
        <v>525</v>
      </c>
      <c r="H122" s="33" t="s">
        <v>539</v>
      </c>
      <c r="I122" s="33"/>
      <c r="J122" s="33">
        <v>13679677432</v>
      </c>
      <c r="K122" s="33" t="s">
        <v>537</v>
      </c>
    </row>
    <row r="123" ht="27" spans="1:11">
      <c r="A123" s="151" t="s">
        <v>540</v>
      </c>
      <c r="B123" s="33" t="s">
        <v>541</v>
      </c>
      <c r="C123" s="33" t="s">
        <v>542</v>
      </c>
      <c r="D123" s="33" t="s">
        <v>16</v>
      </c>
      <c r="E123" s="33" t="s">
        <v>543</v>
      </c>
      <c r="F123" s="33">
        <v>15884240073</v>
      </c>
      <c r="G123" s="33" t="s">
        <v>544</v>
      </c>
      <c r="H123" s="33" t="s">
        <v>545</v>
      </c>
      <c r="I123" s="33"/>
      <c r="J123" s="33">
        <v>15683343313</v>
      </c>
      <c r="K123" s="33" t="s">
        <v>546</v>
      </c>
    </row>
    <row r="124" ht="27" spans="1:11">
      <c r="A124" s="151" t="s">
        <v>547</v>
      </c>
      <c r="B124" s="33" t="s">
        <v>548</v>
      </c>
      <c r="C124" s="33" t="s">
        <v>549</v>
      </c>
      <c r="D124" s="33" t="s">
        <v>16</v>
      </c>
      <c r="E124" s="33" t="s">
        <v>550</v>
      </c>
      <c r="F124" s="33">
        <v>18989225023</v>
      </c>
      <c r="G124" s="33" t="s">
        <v>551</v>
      </c>
      <c r="H124" s="33" t="s">
        <v>552</v>
      </c>
      <c r="I124" s="33"/>
      <c r="J124" s="33">
        <v>15082460939</v>
      </c>
      <c r="K124" s="33" t="s">
        <v>549</v>
      </c>
    </row>
    <row r="125" ht="27" spans="1:11">
      <c r="A125" s="151" t="s">
        <v>553</v>
      </c>
      <c r="B125" s="33" t="s">
        <v>554</v>
      </c>
      <c r="C125" s="33" t="s">
        <v>555</v>
      </c>
      <c r="D125" s="33" t="s">
        <v>36</v>
      </c>
      <c r="E125" s="33" t="s">
        <v>556</v>
      </c>
      <c r="F125" s="33">
        <v>15908399777</v>
      </c>
      <c r="G125" s="33"/>
      <c r="H125" s="33"/>
      <c r="I125" s="33"/>
      <c r="J125" s="33"/>
      <c r="K125" s="33"/>
    </row>
    <row r="126" ht="27" spans="1:11">
      <c r="A126" s="151" t="s">
        <v>557</v>
      </c>
      <c r="B126" s="33" t="s">
        <v>558</v>
      </c>
      <c r="C126" s="33" t="s">
        <v>559</v>
      </c>
      <c r="D126" s="33" t="s">
        <v>16</v>
      </c>
      <c r="E126" s="33" t="s">
        <v>560</v>
      </c>
      <c r="F126" s="33">
        <v>13890970904</v>
      </c>
      <c r="G126" s="33" t="s">
        <v>561</v>
      </c>
      <c r="H126" s="33" t="s">
        <v>562</v>
      </c>
      <c r="I126" s="33"/>
      <c r="J126" s="33">
        <v>18208200155</v>
      </c>
      <c r="K126" s="33" t="s">
        <v>559</v>
      </c>
    </row>
    <row r="127" ht="40.5" spans="1:11">
      <c r="A127" s="151" t="s">
        <v>563</v>
      </c>
      <c r="B127" s="153" t="s">
        <v>564</v>
      </c>
      <c r="C127" s="33" t="s">
        <v>491</v>
      </c>
      <c r="D127" s="33" t="s">
        <v>16</v>
      </c>
      <c r="E127" s="33" t="s">
        <v>492</v>
      </c>
      <c r="F127" s="33">
        <v>17323288028</v>
      </c>
      <c r="G127" s="33" t="s">
        <v>493</v>
      </c>
      <c r="H127" s="33" t="s">
        <v>494</v>
      </c>
      <c r="I127" s="33"/>
      <c r="J127" s="33">
        <v>18081398678</v>
      </c>
      <c r="K127" s="33" t="s">
        <v>491</v>
      </c>
    </row>
    <row r="128" ht="40.5" spans="1:11">
      <c r="A128" s="151" t="s">
        <v>565</v>
      </c>
      <c r="B128" s="33" t="s">
        <v>566</v>
      </c>
      <c r="C128" s="33" t="s">
        <v>491</v>
      </c>
      <c r="D128" s="33" t="s">
        <v>16</v>
      </c>
      <c r="E128" s="33" t="s">
        <v>492</v>
      </c>
      <c r="F128" s="33">
        <v>17323288028</v>
      </c>
      <c r="G128" s="33" t="s">
        <v>493</v>
      </c>
      <c r="H128" s="33" t="s">
        <v>494</v>
      </c>
      <c r="I128" s="33"/>
      <c r="J128" s="33">
        <v>18081398678</v>
      </c>
      <c r="K128" s="33" t="s">
        <v>491</v>
      </c>
    </row>
    <row r="129" ht="27" spans="1:11">
      <c r="A129" s="151" t="s">
        <v>567</v>
      </c>
      <c r="B129" s="33" t="s">
        <v>568</v>
      </c>
      <c r="C129" s="33" t="s">
        <v>185</v>
      </c>
      <c r="D129" s="33" t="s">
        <v>16</v>
      </c>
      <c r="E129" s="33" t="s">
        <v>569</v>
      </c>
      <c r="F129" s="33">
        <v>18308158806</v>
      </c>
      <c r="G129" s="33" t="s">
        <v>368</v>
      </c>
      <c r="H129" s="33" t="s">
        <v>570</v>
      </c>
      <c r="I129" s="33"/>
      <c r="J129" s="33">
        <v>13795988241</v>
      </c>
      <c r="K129" s="33" t="s">
        <v>185</v>
      </c>
    </row>
    <row r="130" ht="27" spans="1:11">
      <c r="A130" s="151" t="s">
        <v>571</v>
      </c>
      <c r="B130" s="153" t="s">
        <v>572</v>
      </c>
      <c r="C130" s="33" t="s">
        <v>15</v>
      </c>
      <c r="D130" s="33" t="s">
        <v>16</v>
      </c>
      <c r="E130" s="33" t="s">
        <v>573</v>
      </c>
      <c r="F130" s="33">
        <v>18715785058</v>
      </c>
      <c r="G130" s="33" t="s">
        <v>574</v>
      </c>
      <c r="H130" s="33" t="s">
        <v>575</v>
      </c>
      <c r="I130" s="33"/>
      <c r="J130" s="33">
        <v>15283555561</v>
      </c>
      <c r="K130" s="33" t="s">
        <v>15</v>
      </c>
    </row>
    <row r="131" ht="27" spans="1:11">
      <c r="A131" s="151" t="s">
        <v>576</v>
      </c>
      <c r="B131" s="153" t="s">
        <v>577</v>
      </c>
      <c r="C131" s="33" t="s">
        <v>578</v>
      </c>
      <c r="D131" s="33" t="s">
        <v>16</v>
      </c>
      <c r="E131" s="33" t="s">
        <v>573</v>
      </c>
      <c r="F131" s="33">
        <v>18715785058</v>
      </c>
      <c r="G131" s="33" t="s">
        <v>574</v>
      </c>
      <c r="H131" s="33" t="s">
        <v>579</v>
      </c>
      <c r="I131" s="33"/>
      <c r="J131" s="33">
        <v>13458726600</v>
      </c>
      <c r="K131" s="33" t="s">
        <v>15</v>
      </c>
    </row>
    <row r="132" ht="67.5" spans="1:11">
      <c r="A132" s="151" t="s">
        <v>580</v>
      </c>
      <c r="B132" s="33" t="s">
        <v>581</v>
      </c>
      <c r="C132" s="69" t="s">
        <v>188</v>
      </c>
      <c r="D132" s="33" t="s">
        <v>16</v>
      </c>
      <c r="E132" s="33" t="s">
        <v>582</v>
      </c>
      <c r="F132" s="33">
        <v>13989200755</v>
      </c>
      <c r="G132" s="33" t="s">
        <v>583</v>
      </c>
      <c r="H132" s="33" t="s">
        <v>584</v>
      </c>
      <c r="I132" s="33"/>
      <c r="J132" s="33">
        <v>13419120030</v>
      </c>
      <c r="K132" s="69" t="s">
        <v>188</v>
      </c>
    </row>
    <row r="133" ht="27" spans="1:11">
      <c r="A133" s="151" t="s">
        <v>585</v>
      </c>
      <c r="B133" s="33" t="s">
        <v>586</v>
      </c>
      <c r="C133" s="33" t="s">
        <v>15</v>
      </c>
      <c r="D133" s="33" t="s">
        <v>16</v>
      </c>
      <c r="E133" s="33"/>
      <c r="F133" s="33"/>
      <c r="G133" s="33" t="s">
        <v>587</v>
      </c>
      <c r="H133" s="33" t="s">
        <v>588</v>
      </c>
      <c r="I133" s="33"/>
      <c r="J133" s="33"/>
      <c r="K133" s="33" t="s">
        <v>15</v>
      </c>
    </row>
    <row r="134" ht="40.5" spans="1:11">
      <c r="A134" s="151" t="s">
        <v>589</v>
      </c>
      <c r="B134" s="33" t="s">
        <v>590</v>
      </c>
      <c r="C134" s="33" t="s">
        <v>591</v>
      </c>
      <c r="D134" s="33" t="s">
        <v>16</v>
      </c>
      <c r="E134" s="33" t="s">
        <v>592</v>
      </c>
      <c r="F134" s="33">
        <v>13778922922</v>
      </c>
      <c r="G134" s="33" t="s">
        <v>298</v>
      </c>
      <c r="H134" s="33" t="s">
        <v>593</v>
      </c>
      <c r="I134" s="33"/>
      <c r="J134" s="33">
        <v>18283159668</v>
      </c>
      <c r="K134" s="33" t="s">
        <v>591</v>
      </c>
    </row>
    <row r="135" ht="94.5" spans="1:11">
      <c r="A135" s="151" t="s">
        <v>594</v>
      </c>
      <c r="B135" s="33" t="s">
        <v>595</v>
      </c>
      <c r="C135" s="33" t="s">
        <v>525</v>
      </c>
      <c r="D135" s="33" t="s">
        <v>16</v>
      </c>
      <c r="E135" s="33" t="s">
        <v>596</v>
      </c>
      <c r="F135" s="33">
        <v>15284052085</v>
      </c>
      <c r="G135" s="33" t="s">
        <v>597</v>
      </c>
      <c r="H135" s="33" t="s">
        <v>598</v>
      </c>
      <c r="I135" s="33"/>
      <c r="J135" s="33">
        <v>15730759979</v>
      </c>
      <c r="K135" s="33" t="s">
        <v>525</v>
      </c>
    </row>
    <row r="136" ht="81" spans="1:11">
      <c r="A136" s="151" t="s">
        <v>599</v>
      </c>
      <c r="B136" s="33" t="s">
        <v>600</v>
      </c>
      <c r="C136" s="33" t="s">
        <v>525</v>
      </c>
      <c r="D136" s="33" t="s">
        <v>16</v>
      </c>
      <c r="E136" s="33" t="s">
        <v>601</v>
      </c>
      <c r="F136" s="33">
        <v>15982057343</v>
      </c>
      <c r="G136" s="33" t="s">
        <v>602</v>
      </c>
      <c r="H136" s="33" t="s">
        <v>603</v>
      </c>
      <c r="I136" s="33"/>
      <c r="J136" s="33">
        <v>13700990831</v>
      </c>
      <c r="K136" s="33" t="s">
        <v>525</v>
      </c>
    </row>
    <row r="137" ht="27" spans="1:11">
      <c r="A137" s="151" t="s">
        <v>604</v>
      </c>
      <c r="B137" s="33" t="s">
        <v>605</v>
      </c>
      <c r="C137" s="33" t="s">
        <v>185</v>
      </c>
      <c r="D137" s="33" t="s">
        <v>16</v>
      </c>
      <c r="E137" s="33" t="s">
        <v>606</v>
      </c>
      <c r="F137" s="33">
        <v>15828196896</v>
      </c>
      <c r="G137" s="33" t="s">
        <v>370</v>
      </c>
      <c r="H137" s="33" t="s">
        <v>607</v>
      </c>
      <c r="I137" s="33"/>
      <c r="J137" s="33">
        <v>18008116705</v>
      </c>
      <c r="K137" s="33" t="s">
        <v>185</v>
      </c>
    </row>
    <row r="138" ht="27" spans="1:11">
      <c r="A138" s="151" t="s">
        <v>608</v>
      </c>
      <c r="B138" s="33" t="s">
        <v>609</v>
      </c>
      <c r="C138" s="33" t="s">
        <v>610</v>
      </c>
      <c r="D138" s="33" t="s">
        <v>16</v>
      </c>
      <c r="E138" s="33" t="s">
        <v>611</v>
      </c>
      <c r="F138" s="33">
        <v>13890923458</v>
      </c>
      <c r="G138" s="33" t="s">
        <v>431</v>
      </c>
      <c r="H138" s="33" t="s">
        <v>612</v>
      </c>
      <c r="I138" s="33"/>
      <c r="J138" s="33">
        <v>15281444855</v>
      </c>
      <c r="K138" s="33" t="s">
        <v>610</v>
      </c>
    </row>
    <row r="139" ht="54" spans="1:11">
      <c r="A139" s="151" t="s">
        <v>613</v>
      </c>
      <c r="B139" s="33" t="s">
        <v>614</v>
      </c>
      <c r="C139" s="33" t="s">
        <v>615</v>
      </c>
      <c r="D139" s="33" t="s">
        <v>16</v>
      </c>
      <c r="E139" s="33" t="s">
        <v>616</v>
      </c>
      <c r="F139" s="33">
        <v>17784709361</v>
      </c>
      <c r="G139" s="33" t="s">
        <v>615</v>
      </c>
      <c r="H139" s="33" t="s">
        <v>617</v>
      </c>
      <c r="I139" s="33"/>
      <c r="J139" s="33">
        <v>15984413807</v>
      </c>
      <c r="K139" s="33" t="s">
        <v>525</v>
      </c>
    </row>
    <row r="140" ht="54" spans="1:11">
      <c r="A140" s="151" t="s">
        <v>618</v>
      </c>
      <c r="B140" s="33" t="s">
        <v>619</v>
      </c>
      <c r="C140" s="33" t="s">
        <v>620</v>
      </c>
      <c r="D140" s="33" t="s">
        <v>16</v>
      </c>
      <c r="E140" s="33" t="s">
        <v>616</v>
      </c>
      <c r="F140" s="33">
        <v>17784709361</v>
      </c>
      <c r="G140" s="33" t="s">
        <v>620</v>
      </c>
      <c r="H140" s="33" t="s">
        <v>621</v>
      </c>
      <c r="I140" s="33"/>
      <c r="J140" s="33">
        <v>18181688883</v>
      </c>
      <c r="K140" s="33" t="s">
        <v>525</v>
      </c>
    </row>
    <row r="141" ht="67.5" spans="1:11">
      <c r="A141" s="151" t="s">
        <v>622</v>
      </c>
      <c r="B141" s="33" t="s">
        <v>623</v>
      </c>
      <c r="C141" s="33" t="s">
        <v>624</v>
      </c>
      <c r="D141" s="33" t="s">
        <v>16</v>
      </c>
      <c r="E141" s="33" t="s">
        <v>616</v>
      </c>
      <c r="F141" s="33">
        <v>17784709361</v>
      </c>
      <c r="G141" s="33" t="s">
        <v>624</v>
      </c>
      <c r="H141" s="33" t="s">
        <v>625</v>
      </c>
      <c r="I141" s="33"/>
      <c r="J141" s="33">
        <v>18096237781</v>
      </c>
      <c r="K141" s="33" t="s">
        <v>525</v>
      </c>
    </row>
    <row r="142" ht="40.5" spans="1:11">
      <c r="A142" s="151" t="s">
        <v>626</v>
      </c>
      <c r="B142" s="33" t="s">
        <v>490</v>
      </c>
      <c r="C142" s="33" t="s">
        <v>627</v>
      </c>
      <c r="D142" s="33" t="s">
        <v>16</v>
      </c>
      <c r="E142" s="33" t="s">
        <v>628</v>
      </c>
      <c r="F142" s="33">
        <v>18308171818</v>
      </c>
      <c r="G142" s="33" t="s">
        <v>491</v>
      </c>
      <c r="H142" s="33" t="s">
        <v>629</v>
      </c>
      <c r="I142" s="33"/>
      <c r="J142" s="33">
        <v>18181660388</v>
      </c>
      <c r="K142" s="33" t="s">
        <v>630</v>
      </c>
    </row>
    <row r="143" ht="40.5" spans="1:11">
      <c r="A143" s="151" t="s">
        <v>631</v>
      </c>
      <c r="B143" s="33" t="s">
        <v>632</v>
      </c>
      <c r="C143" s="33" t="s">
        <v>633</v>
      </c>
      <c r="D143" s="33" t="s">
        <v>16</v>
      </c>
      <c r="E143" s="33" t="s">
        <v>634</v>
      </c>
      <c r="F143" s="33">
        <v>19934393623</v>
      </c>
      <c r="G143" s="33" t="s">
        <v>635</v>
      </c>
      <c r="H143" s="33" t="s">
        <v>239</v>
      </c>
      <c r="I143" s="33"/>
      <c r="J143" s="33">
        <v>15680393629</v>
      </c>
      <c r="K143" s="33" t="s">
        <v>633</v>
      </c>
    </row>
    <row r="144" ht="27" spans="1:11">
      <c r="A144" s="151" t="s">
        <v>636</v>
      </c>
      <c r="B144" s="33" t="s">
        <v>637</v>
      </c>
      <c r="C144" s="33" t="s">
        <v>154</v>
      </c>
      <c r="D144" s="33" t="s">
        <v>16</v>
      </c>
      <c r="E144" s="33" t="s">
        <v>638</v>
      </c>
      <c r="F144" s="33">
        <v>15283188711</v>
      </c>
      <c r="G144" s="33" t="s">
        <v>639</v>
      </c>
      <c r="H144" s="33" t="s">
        <v>640</v>
      </c>
      <c r="I144" s="33"/>
      <c r="J144" s="33">
        <v>18113551635</v>
      </c>
      <c r="K144" s="33" t="s">
        <v>154</v>
      </c>
    </row>
    <row r="145" ht="27" spans="1:11">
      <c r="A145" s="151" t="s">
        <v>641</v>
      </c>
      <c r="B145" s="33" t="s">
        <v>642</v>
      </c>
      <c r="C145" s="33" t="s">
        <v>373</v>
      </c>
      <c r="D145" s="33" t="s">
        <v>16</v>
      </c>
      <c r="E145" s="33" t="s">
        <v>538</v>
      </c>
      <c r="F145" s="33">
        <v>18990941203</v>
      </c>
      <c r="G145" s="33" t="s">
        <v>643</v>
      </c>
      <c r="H145" s="33" t="s">
        <v>598</v>
      </c>
      <c r="I145" s="33"/>
      <c r="J145" s="33">
        <v>13730759979</v>
      </c>
      <c r="K145" s="33" t="s">
        <v>630</v>
      </c>
    </row>
    <row r="146" ht="27" spans="1:11">
      <c r="A146" s="151" t="s">
        <v>644</v>
      </c>
      <c r="B146" s="33" t="s">
        <v>645</v>
      </c>
      <c r="C146" s="33" t="s">
        <v>373</v>
      </c>
      <c r="D146" s="33" t="s">
        <v>16</v>
      </c>
      <c r="E146" s="33" t="s">
        <v>538</v>
      </c>
      <c r="F146" s="33">
        <v>18990941203</v>
      </c>
      <c r="G146" s="33" t="s">
        <v>171</v>
      </c>
      <c r="H146" s="33" t="s">
        <v>646</v>
      </c>
      <c r="I146" s="33"/>
      <c r="J146" s="33">
        <v>13092888782</v>
      </c>
      <c r="K146" s="33" t="s">
        <v>630</v>
      </c>
    </row>
    <row r="147" ht="38.25" spans="1:11">
      <c r="A147" s="151" t="s">
        <v>647</v>
      </c>
      <c r="B147" s="154" t="s">
        <v>648</v>
      </c>
      <c r="C147" s="155" t="s">
        <v>649</v>
      </c>
      <c r="D147" s="33" t="s">
        <v>16</v>
      </c>
      <c r="E147" s="156" t="s">
        <v>650</v>
      </c>
      <c r="F147" s="156">
        <v>13990931938</v>
      </c>
      <c r="G147" s="156" t="s">
        <v>651</v>
      </c>
      <c r="H147" s="156" t="s">
        <v>652</v>
      </c>
      <c r="J147" s="1">
        <v>13629036069</v>
      </c>
      <c r="K147" s="61" t="s">
        <v>649</v>
      </c>
    </row>
    <row r="148" ht="27" spans="1:11">
      <c r="A148" s="151" t="s">
        <v>653</v>
      </c>
      <c r="B148" s="157" t="s">
        <v>654</v>
      </c>
      <c r="C148" s="157" t="s">
        <v>154</v>
      </c>
      <c r="D148" s="157" t="s">
        <v>36</v>
      </c>
      <c r="E148" s="60" t="s">
        <v>655</v>
      </c>
      <c r="F148" s="157">
        <v>13890951229</v>
      </c>
      <c r="G148" s="157" t="s">
        <v>630</v>
      </c>
      <c r="H148" s="157" t="s">
        <v>630</v>
      </c>
      <c r="I148" s="157"/>
      <c r="J148" s="157" t="s">
        <v>630</v>
      </c>
      <c r="K148" s="157" t="s">
        <v>154</v>
      </c>
    </row>
  </sheetData>
  <autoFilter ref="A3:K148">
    <extLst/>
  </autoFilter>
  <mergeCells count="3">
    <mergeCell ref="A1:K1"/>
    <mergeCell ref="B2:K2"/>
    <mergeCell ref="A2:A3"/>
  </mergeCells>
  <pageMargins left="0.75" right="0.75" top="1" bottom="1" header="0.5" footer="0.5"/>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X59"/>
  <sheetViews>
    <sheetView view="pageBreakPreview" zoomScaleNormal="100" workbookViewId="0">
      <pane xSplit="13" ySplit="3" topLeftCell="N14" activePane="bottomRight" state="frozen"/>
      <selection/>
      <selection pane="topRight"/>
      <selection pane="bottomLeft"/>
      <selection pane="bottomRight" activeCell="Q21" sqref="Q21"/>
    </sheetView>
  </sheetViews>
  <sheetFormatPr defaultColWidth="9" defaultRowHeight="13.5"/>
  <cols>
    <col min="1" max="1" width="8.625" style="60" customWidth="1"/>
    <col min="2" max="2" width="3.625" style="60" customWidth="1"/>
    <col min="3" max="3" width="9" style="60"/>
    <col min="4" max="4" width="7.125" style="60" customWidth="1"/>
    <col min="5" max="5" width="5.125" style="60" customWidth="1"/>
    <col min="6" max="6" width="8.125" style="60" customWidth="1"/>
    <col min="7" max="7" width="5.25" style="60" customWidth="1"/>
    <col min="8" max="8" width="7.75" style="60" customWidth="1"/>
    <col min="9" max="9" width="5.75" style="60" customWidth="1"/>
    <col min="10" max="10" width="9.5" style="60" customWidth="1"/>
    <col min="11" max="11" width="9" style="60"/>
    <col min="12" max="12" width="9.875" style="60" customWidth="1"/>
    <col min="13" max="13" width="7.125" style="60" customWidth="1"/>
    <col min="14" max="14" width="12.625" style="60"/>
    <col min="15" max="15" width="14.125" style="60" customWidth="1"/>
    <col min="16" max="16" width="16" style="60" customWidth="1"/>
    <col min="17" max="17" width="9.625" style="60" customWidth="1"/>
    <col min="18" max="19" width="9" style="60"/>
    <col min="20" max="20" width="11.375" style="60" customWidth="1"/>
    <col min="21" max="16384" width="9" style="60"/>
  </cols>
  <sheetData>
    <row r="1" ht="18.75" spans="1:23">
      <c r="A1" s="61" t="s">
        <v>656</v>
      </c>
      <c r="B1" s="61"/>
      <c r="C1" s="61"/>
      <c r="D1" s="61"/>
      <c r="E1" s="61"/>
      <c r="F1" s="61"/>
      <c r="G1" s="61"/>
      <c r="H1" s="61"/>
      <c r="I1" s="61"/>
      <c r="J1" s="61"/>
      <c r="K1" s="61"/>
      <c r="L1" s="61"/>
      <c r="M1" s="61"/>
      <c r="O1" s="89" t="s">
        <v>657</v>
      </c>
      <c r="P1" s="90">
        <v>44015</v>
      </c>
      <c r="Q1" s="127" t="s">
        <v>658</v>
      </c>
      <c r="R1" s="128">
        <v>24</v>
      </c>
      <c r="S1" s="129" t="s">
        <v>659</v>
      </c>
      <c r="T1" s="130" t="s">
        <v>660</v>
      </c>
      <c r="U1" s="131" t="s">
        <v>661</v>
      </c>
      <c r="V1" s="131"/>
      <c r="W1" s="132" t="s">
        <v>662</v>
      </c>
    </row>
    <row r="2" ht="22.5" spans="1:19">
      <c r="A2" s="62" t="s">
        <v>663</v>
      </c>
      <c r="B2" s="62"/>
      <c r="C2" s="62"/>
      <c r="D2" s="62"/>
      <c r="E2" s="62"/>
      <c r="F2" s="62"/>
      <c r="G2" s="62"/>
      <c r="H2" s="62"/>
      <c r="I2" s="62"/>
      <c r="J2" s="62"/>
      <c r="K2" s="62"/>
      <c r="L2" s="62"/>
      <c r="M2" s="62"/>
      <c r="O2" s="91" t="s">
        <v>664</v>
      </c>
      <c r="P2" s="92">
        <v>44019</v>
      </c>
      <c r="Q2" s="133" t="s">
        <v>665</v>
      </c>
      <c r="R2" s="128">
        <v>20</v>
      </c>
      <c r="S2" s="129" t="s">
        <v>659</v>
      </c>
    </row>
    <row r="3" ht="18.75" spans="11:15">
      <c r="K3" s="60" t="s">
        <v>666</v>
      </c>
      <c r="O3" s="91"/>
    </row>
    <row r="4" ht="20" customHeight="1" spans="1:13">
      <c r="A4" s="33" t="s">
        <v>667</v>
      </c>
      <c r="B4" s="33"/>
      <c r="C4" s="63" t="str">
        <f>U1&amp;W1</f>
        <v>150502-2020000015</v>
      </c>
      <c r="D4" s="63"/>
      <c r="E4" s="63"/>
      <c r="F4" s="63"/>
      <c r="G4" s="63"/>
      <c r="H4" s="63"/>
      <c r="I4" s="63"/>
      <c r="J4" s="63"/>
      <c r="K4" s="63"/>
      <c r="L4" s="63"/>
      <c r="M4" s="63"/>
    </row>
    <row r="5" ht="23" customHeight="1" spans="1:13">
      <c r="A5" s="33" t="s">
        <v>668</v>
      </c>
      <c r="B5" s="33"/>
      <c r="C5" s="64" t="s">
        <v>669</v>
      </c>
      <c r="D5" s="65" t="s">
        <v>670</v>
      </c>
      <c r="E5" s="66" t="s">
        <v>671</v>
      </c>
      <c r="F5" s="33" t="s">
        <v>672</v>
      </c>
      <c r="G5" s="33"/>
      <c r="H5" s="63">
        <f>YEAR(P1)</f>
        <v>2020</v>
      </c>
      <c r="I5" s="33" t="s">
        <v>673</v>
      </c>
      <c r="J5" s="63">
        <f>MONTH(P1)</f>
        <v>7</v>
      </c>
      <c r="K5" s="33" t="s">
        <v>674</v>
      </c>
      <c r="L5" s="63">
        <f>DAY(P1)</f>
        <v>3</v>
      </c>
      <c r="M5" s="33" t="s">
        <v>675</v>
      </c>
    </row>
    <row r="6" ht="23" customHeight="1" spans="1:13">
      <c r="A6" s="33" t="s">
        <v>676</v>
      </c>
      <c r="B6" s="33"/>
      <c r="C6" s="67" t="s">
        <v>677</v>
      </c>
      <c r="D6" s="67"/>
      <c r="E6" s="67" t="s">
        <v>678</v>
      </c>
      <c r="F6" s="67"/>
      <c r="G6" s="67"/>
      <c r="H6" s="67" t="s">
        <v>679</v>
      </c>
      <c r="I6" s="67"/>
      <c r="J6" s="93" t="s">
        <v>680</v>
      </c>
      <c r="K6" s="94"/>
      <c r="L6" s="94"/>
      <c r="M6" s="95"/>
    </row>
    <row r="7" ht="21" customHeight="1" spans="1:13">
      <c r="A7" s="33" t="s">
        <v>681</v>
      </c>
      <c r="B7" s="33"/>
      <c r="C7" s="19" t="s">
        <v>682</v>
      </c>
      <c r="D7" s="19"/>
      <c r="E7" s="19"/>
      <c r="F7" s="19"/>
      <c r="G7" s="19"/>
      <c r="H7" s="19"/>
      <c r="I7" s="19"/>
      <c r="J7" s="19"/>
      <c r="K7" s="19"/>
      <c r="L7" s="19"/>
      <c r="M7" s="19"/>
    </row>
    <row r="8" ht="25" customHeight="1" spans="1:13">
      <c r="A8" s="35" t="s">
        <v>683</v>
      </c>
      <c r="B8" s="33"/>
      <c r="C8" s="33" t="s">
        <v>684</v>
      </c>
      <c r="D8" s="63">
        <f>YEAR(P2)</f>
        <v>2020</v>
      </c>
      <c r="E8" s="33" t="s">
        <v>673</v>
      </c>
      <c r="F8" s="63">
        <f>MONTH(P2)</f>
        <v>7</v>
      </c>
      <c r="G8" s="33" t="s">
        <v>674</v>
      </c>
      <c r="H8" s="63">
        <f>DAY(P2)</f>
        <v>7</v>
      </c>
      <c r="I8" s="33" t="s">
        <v>675</v>
      </c>
      <c r="J8" s="33" t="s">
        <v>685</v>
      </c>
      <c r="K8" s="33" t="s">
        <v>686</v>
      </c>
      <c r="L8" s="96">
        <f>R1</f>
        <v>24</v>
      </c>
      <c r="M8" s="97" t="s">
        <v>659</v>
      </c>
    </row>
    <row r="9" ht="25" customHeight="1" spans="1:14">
      <c r="A9" s="33"/>
      <c r="B9" s="33"/>
      <c r="C9" s="33" t="s">
        <v>687</v>
      </c>
      <c r="D9" s="33"/>
      <c r="E9" s="33"/>
      <c r="F9" s="33"/>
      <c r="G9" s="33"/>
      <c r="H9" s="33"/>
      <c r="I9" s="33" t="s">
        <v>688</v>
      </c>
      <c r="J9" s="98">
        <f>P2-1</f>
        <v>44018</v>
      </c>
      <c r="K9" s="33" t="s">
        <v>689</v>
      </c>
      <c r="L9" s="98">
        <f>P2</f>
        <v>44019</v>
      </c>
      <c r="M9" s="33" t="s">
        <v>690</v>
      </c>
      <c r="N9" s="99">
        <f>L9-J9</f>
        <v>1</v>
      </c>
    </row>
    <row r="10" ht="27" customHeight="1" spans="1:13">
      <c r="A10" s="33"/>
      <c r="B10" s="33"/>
      <c r="C10" s="33" t="s">
        <v>691</v>
      </c>
      <c r="D10" s="33" t="s">
        <v>692</v>
      </c>
      <c r="E10" s="33"/>
      <c r="F10" s="33" t="s">
        <v>693</v>
      </c>
      <c r="G10" s="33"/>
      <c r="H10" s="33" t="s">
        <v>694</v>
      </c>
      <c r="I10" s="33"/>
      <c r="J10" s="33" t="s">
        <v>695</v>
      </c>
      <c r="K10" s="33" t="s">
        <v>696</v>
      </c>
      <c r="L10" s="70" t="s">
        <v>697</v>
      </c>
      <c r="M10" s="70"/>
    </row>
    <row r="11" ht="27" customHeight="1" spans="1:15">
      <c r="A11" s="33"/>
      <c r="B11" s="33"/>
      <c r="C11" s="33"/>
      <c r="D11" s="33"/>
      <c r="E11" s="33"/>
      <c r="F11" s="33"/>
      <c r="G11" s="33"/>
      <c r="H11" s="33"/>
      <c r="I11" s="33"/>
      <c r="J11" s="33"/>
      <c r="K11" s="33"/>
      <c r="L11" s="100" t="s">
        <v>698</v>
      </c>
      <c r="M11" s="100" t="s">
        <v>699</v>
      </c>
      <c r="N11" s="60" t="s">
        <v>700</v>
      </c>
      <c r="O11" s="60" t="s">
        <v>701</v>
      </c>
    </row>
    <row r="12" ht="25" customHeight="1" spans="1:15">
      <c r="A12" s="33"/>
      <c r="B12" s="33"/>
      <c r="C12" s="33" t="s">
        <v>702</v>
      </c>
      <c r="D12" s="33">
        <v>300</v>
      </c>
      <c r="E12" s="33"/>
      <c r="F12" s="63">
        <v>834</v>
      </c>
      <c r="G12" s="63"/>
      <c r="H12" s="63">
        <v>647</v>
      </c>
      <c r="I12" s="63"/>
      <c r="J12" s="96">
        <v>24</v>
      </c>
      <c r="K12" s="33">
        <v>0.007</v>
      </c>
      <c r="L12" s="33">
        <f>IF(F12&lt;&gt;"",IF(MOD((D12/(D12+H12-F12)-K12)*1000*10^(-1),1)=0.5,ROUND((D12/(D12+H12-F12)-K12)*1000/2,-1)*2,ROUND((D12/(D12+H12-F12)-K12)*1000,-1)),0)</f>
        <v>2650</v>
      </c>
      <c r="M12" s="74">
        <f>IF(MOD(AVERAGE(L12,L13)*10^(-1),1)=0.5,ROUND(AVERAGE(L12,L13)/2,-1)*2,ROUND(AVERAGE(L12,L13),-1))</f>
        <v>2650</v>
      </c>
      <c r="O12" s="101">
        <f>ABS(L12-L13)</f>
        <v>0</v>
      </c>
    </row>
    <row r="13" ht="25" customHeight="1" spans="1:13">
      <c r="A13" s="33"/>
      <c r="B13" s="33"/>
      <c r="C13" s="33" t="s">
        <v>703</v>
      </c>
      <c r="D13" s="33">
        <v>300</v>
      </c>
      <c r="E13" s="33"/>
      <c r="F13" s="63">
        <v>832</v>
      </c>
      <c r="G13" s="63"/>
      <c r="H13" s="63">
        <v>645</v>
      </c>
      <c r="I13" s="63"/>
      <c r="J13" s="96">
        <v>24</v>
      </c>
      <c r="K13" s="33">
        <v>0.007</v>
      </c>
      <c r="L13" s="33">
        <f>IF(F13&lt;&gt;"",IF(MOD((D13/(D13+H13-F13)-K13)*1000*10^(-1),1)=0.5,ROUND((D13/(D13+H13-F13)-K13)*1000/2,-1)*2,ROUND((D13/(D13+H13-F13)-K13)*1000,-1)),0)</f>
        <v>2650</v>
      </c>
      <c r="M13" s="81"/>
    </row>
    <row r="14" ht="25" customHeight="1" spans="1:13">
      <c r="A14" s="33"/>
      <c r="B14" s="33"/>
      <c r="C14" s="33" t="s">
        <v>691</v>
      </c>
      <c r="D14" s="35" t="s">
        <v>704</v>
      </c>
      <c r="E14" s="35"/>
      <c r="F14" s="33" t="s">
        <v>705</v>
      </c>
      <c r="G14" s="33"/>
      <c r="H14" s="33" t="s">
        <v>706</v>
      </c>
      <c r="I14" s="33"/>
      <c r="J14" s="70" t="s">
        <v>707</v>
      </c>
      <c r="K14" s="70" t="s">
        <v>696</v>
      </c>
      <c r="L14" s="70" t="s">
        <v>697</v>
      </c>
      <c r="M14" s="70"/>
    </row>
    <row r="15" ht="25" customHeight="1" spans="1:13">
      <c r="A15" s="33"/>
      <c r="B15" s="33"/>
      <c r="C15" s="33"/>
      <c r="D15" s="35"/>
      <c r="E15" s="35"/>
      <c r="F15" s="33"/>
      <c r="G15" s="33"/>
      <c r="H15" s="33"/>
      <c r="I15" s="33"/>
      <c r="J15" s="70"/>
      <c r="K15" s="70"/>
      <c r="L15" s="100" t="s">
        <v>698</v>
      </c>
      <c r="M15" s="100" t="s">
        <v>699</v>
      </c>
    </row>
    <row r="16" ht="25" customHeight="1" spans="1:13">
      <c r="A16" s="33"/>
      <c r="B16" s="33"/>
      <c r="C16" s="33" t="s">
        <v>702</v>
      </c>
      <c r="D16" s="33">
        <v>50</v>
      </c>
      <c r="E16" s="33"/>
      <c r="F16" s="68"/>
      <c r="G16" s="68"/>
      <c r="H16" s="68"/>
      <c r="I16" s="68"/>
      <c r="J16" s="96"/>
      <c r="K16" s="33">
        <f>IF(J16=15,0.002,IF(OR(J16=16,J16=17),0.003,IF(OR(J16=18,J16=19),0.004,IF(OR(J16=20,J16=21),0.005,IF(OR(J16=22,J16=23),0.006,IF(J16=24,0.007,IF(J16=25,0.008,0)))))))</f>
        <v>0</v>
      </c>
      <c r="L16" s="33">
        <f>IF(OR(F16&lt;&gt;"",H16&lt;&gt;""),IF(MOD((D16/(H16-F16)-K16)*1000*10^(-1),1)=0.5,ROUND((D16/(H16-F16)-K16)*1000/2,-1)*2,ROUND((D16/(H16-F16)-K16)*1000,-1)),0)</f>
        <v>0</v>
      </c>
      <c r="M16" s="74">
        <f>IF(MOD(AVERAGE(L16,L17)*10^(-1),1)=0.5,ROUND(AVERAGE(L16,L17)/2,-1)*2,ROUND(AVERAGE(L16,L17),-1))</f>
        <v>0</v>
      </c>
    </row>
    <row r="17" ht="25" customHeight="1" spans="1:13">
      <c r="A17" s="33"/>
      <c r="B17" s="33"/>
      <c r="C17" s="33" t="s">
        <v>703</v>
      </c>
      <c r="D17" s="33">
        <v>50</v>
      </c>
      <c r="E17" s="33"/>
      <c r="F17" s="68"/>
      <c r="G17" s="68"/>
      <c r="H17" s="68"/>
      <c r="I17" s="68"/>
      <c r="J17" s="96"/>
      <c r="K17" s="33">
        <f>IF(J17=15,0.002,IF(OR(J17=16,J17=17),0.003,IF(OR(J17=18,J17=19),0.004,IF(OR(J17=20,J17=21),0.005,IF(OR(J17=22,J17=23),0.006,IF(J17=24,0.007,IF(J17=25,0.008,0)))))))</f>
        <v>0</v>
      </c>
      <c r="L17" s="33">
        <f>IF(OR(F17&lt;&gt;"",H17&lt;&gt;""),IF(MOD((D17/(H17-F17)-K17)*1000*10^(-1),1)=0.5,ROUND((D17/(H17-F17)-K17)*1000/2,-1)*2,ROUND((D17/(H17-F17)-K17)*1000,-1)),0)</f>
        <v>0</v>
      </c>
      <c r="M17" s="81"/>
    </row>
    <row r="18" ht="22" customHeight="1" spans="1:13">
      <c r="A18" s="33" t="s">
        <v>708</v>
      </c>
      <c r="B18" s="33"/>
      <c r="C18" s="33" t="s">
        <v>684</v>
      </c>
      <c r="D18" s="63">
        <f>YEAR($J$9)</f>
        <v>2020</v>
      </c>
      <c r="E18" s="69" t="s">
        <v>673</v>
      </c>
      <c r="F18" s="63">
        <f>MONTH($J$9)</f>
        <v>7</v>
      </c>
      <c r="G18" s="69" t="s">
        <v>674</v>
      </c>
      <c r="H18" s="63">
        <f>DAY($J$9)</f>
        <v>6</v>
      </c>
      <c r="I18" s="19" t="s">
        <v>675</v>
      </c>
      <c r="J18" s="19"/>
      <c r="K18" s="19"/>
      <c r="L18" s="19"/>
      <c r="M18" s="19"/>
    </row>
    <row r="19" ht="40" customHeight="1" spans="1:13">
      <c r="A19" s="33"/>
      <c r="B19" s="33"/>
      <c r="C19" s="33" t="s">
        <v>691</v>
      </c>
      <c r="D19" s="70" t="s">
        <v>709</v>
      </c>
      <c r="E19" s="70"/>
      <c r="F19" s="33" t="s">
        <v>710</v>
      </c>
      <c r="G19" s="33"/>
      <c r="H19" s="33" t="s">
        <v>711</v>
      </c>
      <c r="I19" s="33"/>
      <c r="J19" s="33" t="s">
        <v>712</v>
      </c>
      <c r="K19" s="33" t="s">
        <v>713</v>
      </c>
      <c r="L19" s="33"/>
      <c r="M19" s="33" t="s">
        <v>714</v>
      </c>
    </row>
    <row r="20" ht="25" customHeight="1" spans="1:14">
      <c r="A20" s="33"/>
      <c r="B20" s="33"/>
      <c r="C20" s="33" t="s">
        <v>702</v>
      </c>
      <c r="D20" s="69">
        <v>298</v>
      </c>
      <c r="E20" s="69"/>
      <c r="F20" s="63">
        <v>1804</v>
      </c>
      <c r="G20" s="63"/>
      <c r="H20" s="33">
        <v>0.98</v>
      </c>
      <c r="I20" s="33"/>
      <c r="J20" s="33">
        <f>IF(H20&lt;&gt;"",IF(MOD((F20-D20)/H20*10^(-1),1)=0.5,ROUND((F20-D20)/H20/2,-1)*2,ROUND((F20-D20)/H20,-1)),0)</f>
        <v>1540</v>
      </c>
      <c r="K20" s="36">
        <f>IF(MOD(AVERAGE(J20:J21)*10^(-1),1)=0.5,ROUND(AVERAGE(J20:J21)/2,-1)*2,ROUND(AVERAGE(J20:J21),-1))</f>
        <v>1530</v>
      </c>
      <c r="L20" s="53"/>
      <c r="M20" s="102">
        <f>IF(M12=0,IF(OR(M16&lt;&gt;0,M16&lt;&gt;""),IF(MOD((1-K20/M16)*100*10^(0),1)=0.5,ROUND((1-K20/M16)*100/2,0)*2/100,ROUND((1-K20/M16)*100,0)/100),0),IF(OR(M12&lt;&gt;0,M12&lt;&gt;""),IF(MOD((1-K20/M12)*100*10^(0),1)=0.5,ROUND((1-K20/M12)*100/2,0)*2/100,ROUND((1-K20/M12)*100,0)/100),0))*100</f>
        <v>42</v>
      </c>
      <c r="N20" s="103"/>
    </row>
    <row r="21" ht="25" customHeight="1" spans="1:13">
      <c r="A21" s="33"/>
      <c r="B21" s="33"/>
      <c r="C21" s="33" t="s">
        <v>703</v>
      </c>
      <c r="D21" s="69">
        <v>298</v>
      </c>
      <c r="E21" s="69"/>
      <c r="F21" s="63">
        <v>1784</v>
      </c>
      <c r="G21" s="63"/>
      <c r="H21" s="33">
        <v>0.98</v>
      </c>
      <c r="I21" s="33"/>
      <c r="J21" s="33">
        <f>IF(H21&lt;&gt;"",IF(MOD((F21-D21)/H21*10^(-1),1)=0.5,ROUND((F21-D21)/H21/2,-1)*2,ROUND((F21-D21)/H21,-1)),0)</f>
        <v>1520</v>
      </c>
      <c r="K21" s="39"/>
      <c r="L21" s="54"/>
      <c r="M21" s="104"/>
    </row>
    <row r="22" ht="25" customHeight="1" spans="1:13">
      <c r="A22" s="33" t="s">
        <v>715</v>
      </c>
      <c r="B22" s="33"/>
      <c r="C22" s="33" t="s">
        <v>684</v>
      </c>
      <c r="D22" s="63">
        <f>IF($D$8&lt;&gt;"",$D$8,"")</f>
        <v>2020</v>
      </c>
      <c r="E22" s="33" t="s">
        <v>673</v>
      </c>
      <c r="F22" s="63">
        <f>IF($F$8&lt;&gt;"",$F$8,"")</f>
        <v>7</v>
      </c>
      <c r="G22" s="33" t="s">
        <v>674</v>
      </c>
      <c r="H22" s="63">
        <f>IF($H$8&lt;&gt;"",$H$8,"")</f>
        <v>7</v>
      </c>
      <c r="I22" s="19" t="s">
        <v>675</v>
      </c>
      <c r="J22" s="19"/>
      <c r="K22" s="19"/>
      <c r="L22" s="19"/>
      <c r="M22" s="19"/>
    </row>
    <row r="23" ht="25" customHeight="1" spans="1:13">
      <c r="A23" s="33"/>
      <c r="B23" s="33"/>
      <c r="C23" s="71" t="s">
        <v>716</v>
      </c>
      <c r="D23" s="71"/>
      <c r="E23" s="71"/>
      <c r="F23" s="71"/>
      <c r="G23" s="71"/>
      <c r="H23" s="71"/>
      <c r="I23" s="33" t="s">
        <v>688</v>
      </c>
      <c r="J23" s="98">
        <f>P2-1</f>
        <v>44018</v>
      </c>
      <c r="K23" s="33" t="s">
        <v>689</v>
      </c>
      <c r="L23" s="98">
        <f>P2</f>
        <v>44019</v>
      </c>
      <c r="M23" s="33" t="s">
        <v>690</v>
      </c>
    </row>
    <row r="24" ht="25" customHeight="1" spans="1:14">
      <c r="A24" s="33"/>
      <c r="B24" s="33"/>
      <c r="C24" s="33" t="s">
        <v>691</v>
      </c>
      <c r="D24" s="33" t="s">
        <v>717</v>
      </c>
      <c r="E24" s="33"/>
      <c r="F24" s="33"/>
      <c r="G24" s="33"/>
      <c r="H24" s="33" t="s">
        <v>718</v>
      </c>
      <c r="I24" s="33"/>
      <c r="J24" s="33"/>
      <c r="K24" s="33" t="s">
        <v>719</v>
      </c>
      <c r="L24" s="33"/>
      <c r="M24" s="33"/>
      <c r="N24" s="60" t="s">
        <v>720</v>
      </c>
    </row>
    <row r="25" ht="25" customHeight="1" spans="1:16">
      <c r="A25" s="33"/>
      <c r="B25" s="33"/>
      <c r="C25" s="33"/>
      <c r="D25" s="33"/>
      <c r="E25" s="33"/>
      <c r="F25" s="33"/>
      <c r="G25" s="33"/>
      <c r="H25" s="33"/>
      <c r="I25" s="33"/>
      <c r="J25" s="33"/>
      <c r="K25" s="33" t="s">
        <v>698</v>
      </c>
      <c r="L25" s="33"/>
      <c r="M25" s="33" t="s">
        <v>699</v>
      </c>
      <c r="N25" s="60" t="s">
        <v>721</v>
      </c>
      <c r="O25" s="60" t="s">
        <v>722</v>
      </c>
      <c r="P25" s="60" t="s">
        <v>723</v>
      </c>
    </row>
    <row r="26" ht="25" customHeight="1" spans="1:16">
      <c r="A26" s="33"/>
      <c r="B26" s="33"/>
      <c r="C26" s="33" t="s">
        <v>702</v>
      </c>
      <c r="D26" s="33">
        <v>202</v>
      </c>
      <c r="E26" s="33"/>
      <c r="F26" s="33"/>
      <c r="G26" s="33"/>
      <c r="H26" s="63">
        <v>199</v>
      </c>
      <c r="I26" s="63"/>
      <c r="J26" s="63"/>
      <c r="K26" s="105">
        <f>IF(MOD((D26-H26)/D26*100*10^1,1)=0.5,ROUND((D26-H26)/D26*100/2,1)*2,ROUND((D26-H26)/D26*100,1))</f>
        <v>1.5</v>
      </c>
      <c r="L26" s="105"/>
      <c r="M26" s="102">
        <f>IF(MOD(AVERAGE(K26:L27)*10^1,1)=0.5,ROUND(AVERAGE(K26:L27)/2,1)*2,ROUND(AVERAGE(K26:L27),1))</f>
        <v>1</v>
      </c>
      <c r="N26" s="106" t="s">
        <v>724</v>
      </c>
      <c r="O26" s="107" t="s">
        <v>725</v>
      </c>
      <c r="P26" s="107" t="s">
        <v>726</v>
      </c>
    </row>
    <row r="27" ht="25" customHeight="1" spans="1:15">
      <c r="A27" s="33"/>
      <c r="B27" s="33"/>
      <c r="C27" s="33" t="s">
        <v>703</v>
      </c>
      <c r="D27" s="33">
        <v>200</v>
      </c>
      <c r="E27" s="33"/>
      <c r="F27" s="33"/>
      <c r="G27" s="33"/>
      <c r="H27" s="63">
        <v>199</v>
      </c>
      <c r="I27" s="63"/>
      <c r="J27" s="63"/>
      <c r="K27" s="105">
        <f>IF(MOD((D27-H27)/D27*100*10^1,1)=0.5,ROUND((D27-H27)/D27*100/2,1)*2,ROUND((D27-H27)/D27*100,1))</f>
        <v>0.5</v>
      </c>
      <c r="L27" s="105"/>
      <c r="M27" s="104"/>
      <c r="O27" s="108"/>
    </row>
    <row r="28" ht="25" customHeight="1" spans="1:13">
      <c r="A28" s="35" t="s">
        <v>727</v>
      </c>
      <c r="B28" s="33"/>
      <c r="C28" s="33" t="s">
        <v>684</v>
      </c>
      <c r="D28" s="63">
        <f>IF($D$8&lt;&gt;"",$D$8,"")</f>
        <v>2020</v>
      </c>
      <c r="E28" s="33" t="s">
        <v>673</v>
      </c>
      <c r="F28" s="63">
        <f>IF($F$8&lt;&gt;"",$F$8,"")</f>
        <v>7</v>
      </c>
      <c r="G28" s="33" t="s">
        <v>674</v>
      </c>
      <c r="H28" s="63">
        <f>IF($H$8&lt;&gt;"",$H$8,"")</f>
        <v>7</v>
      </c>
      <c r="I28" s="19" t="s">
        <v>675</v>
      </c>
      <c r="J28" s="19"/>
      <c r="K28" s="19"/>
      <c r="L28" s="19"/>
      <c r="M28" s="19"/>
    </row>
    <row r="29" ht="25" customHeight="1" spans="1:13">
      <c r="A29" s="33"/>
      <c r="B29" s="33"/>
      <c r="C29" s="71" t="s">
        <v>716</v>
      </c>
      <c r="D29" s="71"/>
      <c r="E29" s="71"/>
      <c r="F29" s="71"/>
      <c r="G29" s="71"/>
      <c r="H29" s="71"/>
      <c r="I29" s="33" t="s">
        <v>688</v>
      </c>
      <c r="J29" s="63"/>
      <c r="K29" s="33" t="s">
        <v>689</v>
      </c>
      <c r="L29" s="63"/>
      <c r="M29" s="33" t="s">
        <v>690</v>
      </c>
    </row>
    <row r="30" ht="23" customHeight="1" spans="1:13">
      <c r="A30" s="33"/>
      <c r="B30" s="33"/>
      <c r="C30" s="33" t="s">
        <v>691</v>
      </c>
      <c r="D30" s="33" t="s">
        <v>728</v>
      </c>
      <c r="E30" s="33"/>
      <c r="F30" s="33"/>
      <c r="G30" s="33"/>
      <c r="H30" s="33" t="s">
        <v>729</v>
      </c>
      <c r="I30" s="33"/>
      <c r="J30" s="33"/>
      <c r="K30" s="33" t="s">
        <v>730</v>
      </c>
      <c r="L30" s="33"/>
      <c r="M30" s="33"/>
    </row>
    <row r="31" ht="23" customHeight="1" spans="1:13">
      <c r="A31" s="33"/>
      <c r="B31" s="33"/>
      <c r="C31" s="33"/>
      <c r="D31" s="33"/>
      <c r="E31" s="33"/>
      <c r="F31" s="33"/>
      <c r="G31" s="33"/>
      <c r="H31" s="33"/>
      <c r="I31" s="33"/>
      <c r="J31" s="33"/>
      <c r="K31" s="33" t="s">
        <v>698</v>
      </c>
      <c r="L31" s="33"/>
      <c r="M31" s="33" t="s">
        <v>699</v>
      </c>
    </row>
    <row r="32" ht="24" customHeight="1" spans="1:13">
      <c r="A32" s="33"/>
      <c r="B32" s="33"/>
      <c r="C32" s="33" t="s">
        <v>702</v>
      </c>
      <c r="D32" s="64"/>
      <c r="E32" s="72"/>
      <c r="F32" s="72"/>
      <c r="G32" s="66"/>
      <c r="H32" s="73"/>
      <c r="I32" s="109"/>
      <c r="J32" s="110"/>
      <c r="K32" s="111"/>
      <c r="L32" s="112"/>
      <c r="M32" s="102"/>
    </row>
    <row r="33" ht="25" customHeight="1" spans="1:13">
      <c r="A33" s="33"/>
      <c r="B33" s="33"/>
      <c r="C33" s="33" t="s">
        <v>703</v>
      </c>
      <c r="D33" s="64"/>
      <c r="E33" s="72"/>
      <c r="F33" s="72"/>
      <c r="G33" s="66"/>
      <c r="H33" s="73"/>
      <c r="I33" s="109"/>
      <c r="J33" s="110"/>
      <c r="K33" s="111"/>
      <c r="L33" s="112"/>
      <c r="M33" s="104"/>
    </row>
    <row r="34" ht="25" customHeight="1" spans="1:13">
      <c r="A34" s="33" t="s">
        <v>667</v>
      </c>
      <c r="B34" s="33"/>
      <c r="C34" s="33" t="str">
        <f>IF(C4&lt;&gt;"",C4,"")</f>
        <v>150502-2020000015</v>
      </c>
      <c r="D34" s="33"/>
      <c r="E34" s="33"/>
      <c r="F34" s="33"/>
      <c r="G34" s="33"/>
      <c r="H34" s="33"/>
      <c r="I34" s="33"/>
      <c r="J34" s="33"/>
      <c r="K34" s="33"/>
      <c r="L34" s="33"/>
      <c r="M34" s="33"/>
    </row>
    <row r="35" ht="25" customHeight="1" spans="1:13">
      <c r="A35" s="33" t="s">
        <v>731</v>
      </c>
      <c r="B35" s="33" t="s">
        <v>732</v>
      </c>
      <c r="C35" s="33" t="s">
        <v>684</v>
      </c>
      <c r="D35" s="63">
        <f>IF($D$8&lt;&gt;"",$D$8,"")</f>
        <v>2020</v>
      </c>
      <c r="E35" s="33" t="s">
        <v>673</v>
      </c>
      <c r="F35" s="63">
        <f>IF($F$8&lt;&gt;"",$F$8,"")</f>
        <v>7</v>
      </c>
      <c r="G35" s="33" t="s">
        <v>674</v>
      </c>
      <c r="H35" s="63">
        <f>IF($H$8&lt;&gt;"",$H$8,"")</f>
        <v>7</v>
      </c>
      <c r="I35" s="33" t="s">
        <v>675</v>
      </c>
      <c r="J35" s="33" t="s">
        <v>685</v>
      </c>
      <c r="K35" s="33" t="s">
        <v>686</v>
      </c>
      <c r="L35" s="96">
        <f>R1</f>
        <v>24</v>
      </c>
      <c r="M35" s="33" t="s">
        <v>659</v>
      </c>
    </row>
    <row r="36" ht="25" customHeight="1" spans="1:13">
      <c r="A36" s="33"/>
      <c r="B36" s="33"/>
      <c r="C36" s="74" t="s">
        <v>733</v>
      </c>
      <c r="D36" s="36" t="s">
        <v>734</v>
      </c>
      <c r="E36" s="75"/>
      <c r="F36" s="75"/>
      <c r="G36" s="53"/>
      <c r="H36" s="33" t="s">
        <v>735</v>
      </c>
      <c r="I36" s="33"/>
      <c r="J36" s="33"/>
      <c r="K36" s="36" t="s">
        <v>736</v>
      </c>
      <c r="L36" s="75"/>
      <c r="M36" s="53"/>
    </row>
    <row r="37" ht="25" customHeight="1" spans="1:15">
      <c r="A37" s="33"/>
      <c r="B37" s="33"/>
      <c r="C37" s="76"/>
      <c r="D37" s="39"/>
      <c r="E37" s="77"/>
      <c r="F37" s="77"/>
      <c r="G37" s="54"/>
      <c r="H37" s="33"/>
      <c r="I37" s="33"/>
      <c r="J37" s="33"/>
      <c r="K37" s="39"/>
      <c r="L37" s="77"/>
      <c r="M37" s="54"/>
      <c r="N37" s="60" t="s">
        <v>737</v>
      </c>
      <c r="O37" s="60" t="s">
        <v>738</v>
      </c>
    </row>
    <row r="38" ht="22" customHeight="1" spans="1:15">
      <c r="A38" s="33"/>
      <c r="B38" s="33"/>
      <c r="C38" s="76"/>
      <c r="D38" s="78">
        <v>22</v>
      </c>
      <c r="E38" s="79"/>
      <c r="F38" s="79"/>
      <c r="G38" s="80"/>
      <c r="H38" s="36">
        <v>200</v>
      </c>
      <c r="I38" s="75"/>
      <c r="J38" s="53"/>
      <c r="K38" s="113">
        <f>IF(MOD(D38/H38*10*10^2,1)=0.5,ROUND(D38/H38*10/2,2)*2,ROUND(D38/H38*10,2))</f>
        <v>1.1</v>
      </c>
      <c r="L38" s="114"/>
      <c r="M38" s="115"/>
      <c r="N38" s="108" t="s">
        <v>739</v>
      </c>
      <c r="O38" s="60" t="s">
        <v>740</v>
      </c>
    </row>
    <row r="39" ht="22" customHeight="1" spans="1:14">
      <c r="A39" s="33"/>
      <c r="B39" s="33"/>
      <c r="C39" s="81"/>
      <c r="D39" s="82"/>
      <c r="E39" s="83"/>
      <c r="F39" s="83"/>
      <c r="G39" s="84"/>
      <c r="H39" s="39"/>
      <c r="I39" s="77"/>
      <c r="J39" s="54"/>
      <c r="K39" s="116"/>
      <c r="L39" s="117"/>
      <c r="M39" s="118"/>
      <c r="N39" s="108"/>
    </row>
    <row r="40" ht="25" customHeight="1" spans="1:13">
      <c r="A40" s="33"/>
      <c r="B40" s="33"/>
      <c r="C40" s="33" t="s">
        <v>741</v>
      </c>
      <c r="D40" s="19" t="s">
        <v>742</v>
      </c>
      <c r="E40" s="19"/>
      <c r="F40" s="19"/>
      <c r="G40" s="19"/>
      <c r="H40" s="19"/>
      <c r="I40" s="19"/>
      <c r="J40" s="19"/>
      <c r="K40" s="19"/>
      <c r="L40" s="19"/>
      <c r="M40" s="19"/>
    </row>
    <row r="41" ht="25" customHeight="1" spans="1:17">
      <c r="A41" s="33"/>
      <c r="B41" s="33"/>
      <c r="C41" s="33"/>
      <c r="D41" s="19" t="s">
        <v>743</v>
      </c>
      <c r="E41" s="19"/>
      <c r="F41" s="19"/>
      <c r="G41" s="19"/>
      <c r="H41" s="19"/>
      <c r="I41" s="19"/>
      <c r="J41" s="19"/>
      <c r="K41" s="19"/>
      <c r="L41" s="19"/>
      <c r="M41" s="19"/>
      <c r="O41" s="60" t="s">
        <v>721</v>
      </c>
      <c r="P41" s="60" t="s">
        <v>722</v>
      </c>
      <c r="Q41" s="60" t="s">
        <v>723</v>
      </c>
    </row>
    <row r="42" ht="25" customHeight="1" spans="1:17">
      <c r="A42" s="33"/>
      <c r="B42" s="33" t="s">
        <v>691</v>
      </c>
      <c r="C42" s="33"/>
      <c r="D42" s="33" t="s">
        <v>744</v>
      </c>
      <c r="E42" s="33"/>
      <c r="F42" s="33"/>
      <c r="G42" s="33"/>
      <c r="H42" s="33" t="s">
        <v>745</v>
      </c>
      <c r="I42" s="33"/>
      <c r="J42" s="33"/>
      <c r="K42" s="33" t="s">
        <v>746</v>
      </c>
      <c r="L42" s="33"/>
      <c r="M42" s="33"/>
      <c r="N42" s="60" t="s">
        <v>747</v>
      </c>
      <c r="O42" s="60" t="s">
        <v>748</v>
      </c>
      <c r="P42" s="60" t="s">
        <v>749</v>
      </c>
      <c r="Q42" s="60" t="s">
        <v>750</v>
      </c>
    </row>
    <row r="43" ht="25" customHeight="1" spans="1:17">
      <c r="A43" s="33"/>
      <c r="B43" s="33"/>
      <c r="C43" s="33"/>
      <c r="D43" s="33"/>
      <c r="E43" s="33"/>
      <c r="F43" s="33"/>
      <c r="G43" s="33"/>
      <c r="H43" s="33"/>
      <c r="I43" s="33"/>
      <c r="J43" s="33"/>
      <c r="K43" s="33" t="s">
        <v>698</v>
      </c>
      <c r="L43" s="33"/>
      <c r="M43" s="33" t="s">
        <v>699</v>
      </c>
      <c r="N43" s="119" t="s">
        <v>751</v>
      </c>
      <c r="O43" s="60" t="s">
        <v>726</v>
      </c>
      <c r="P43" s="60" t="s">
        <v>752</v>
      </c>
      <c r="Q43" s="60" t="s">
        <v>748</v>
      </c>
    </row>
    <row r="44" ht="25" customHeight="1" spans="1:13">
      <c r="A44" s="33"/>
      <c r="B44" s="33" t="s">
        <v>702</v>
      </c>
      <c r="C44" s="33"/>
      <c r="D44" s="33">
        <v>400</v>
      </c>
      <c r="E44" s="33"/>
      <c r="F44" s="33"/>
      <c r="G44" s="33"/>
      <c r="H44" s="85">
        <v>382</v>
      </c>
      <c r="I44" s="65"/>
      <c r="J44" s="120"/>
      <c r="K44" s="121">
        <f>IF(MOD((D44-H44)/D44*100*10^1,1)=0.5,ROUND((D44-H44)/D44*100/2,1)*2,ROUND((D44-H44)/D44*100,1))</f>
        <v>4.5</v>
      </c>
      <c r="L44" s="122"/>
      <c r="M44" s="102">
        <f>IF(MOD(AVERAGE(K44:L45)*10^1,1)=0.5,ROUND(AVERAGE(K44:L45)/2,1)*2,ROUND(AVERAGE(K44:L45),1))</f>
        <v>3.8</v>
      </c>
    </row>
    <row r="45" ht="25" customHeight="1" spans="1:13">
      <c r="A45" s="33"/>
      <c r="B45" s="33" t="s">
        <v>703</v>
      </c>
      <c r="C45" s="33"/>
      <c r="D45" s="33">
        <v>400</v>
      </c>
      <c r="E45" s="33"/>
      <c r="F45" s="33"/>
      <c r="G45" s="33"/>
      <c r="H45" s="85">
        <v>388</v>
      </c>
      <c r="I45" s="65"/>
      <c r="J45" s="120"/>
      <c r="K45" s="121">
        <f>IF(MOD((D45-H45)/D45*100*10^1,1)=0.5,ROUND((D45-H45)/D45*100/2,1)*2,ROUND((D45-H45)/D45*100,1))</f>
        <v>3</v>
      </c>
      <c r="L45" s="122"/>
      <c r="M45" s="104"/>
    </row>
    <row r="46" ht="25" customHeight="1" spans="1:13">
      <c r="A46" s="33" t="s">
        <v>753</v>
      </c>
      <c r="B46" s="33" t="s">
        <v>684</v>
      </c>
      <c r="C46" s="33"/>
      <c r="D46" s="63">
        <f>YEAR($J$9)</f>
        <v>2020</v>
      </c>
      <c r="E46" s="69" t="s">
        <v>673</v>
      </c>
      <c r="F46" s="63">
        <f>MONTH($J$9)</f>
        <v>7</v>
      </c>
      <c r="G46" s="69" t="s">
        <v>674</v>
      </c>
      <c r="H46" s="63">
        <f>DAY($J$9)</f>
        <v>6</v>
      </c>
      <c r="I46" s="19" t="s">
        <v>675</v>
      </c>
      <c r="J46" s="19"/>
      <c r="K46" s="19"/>
      <c r="L46" s="19"/>
      <c r="M46" s="19"/>
    </row>
    <row r="47" ht="25" customHeight="1" spans="1:18">
      <c r="A47" s="33"/>
      <c r="B47" s="33" t="s">
        <v>754</v>
      </c>
      <c r="C47" s="33"/>
      <c r="D47" s="33"/>
      <c r="E47" s="33" t="s">
        <v>755</v>
      </c>
      <c r="F47" s="33"/>
      <c r="G47" s="33"/>
      <c r="H47" s="33"/>
      <c r="I47" s="33" t="s">
        <v>756</v>
      </c>
      <c r="J47" s="33"/>
      <c r="K47" s="33"/>
      <c r="L47" s="33" t="s">
        <v>757</v>
      </c>
      <c r="M47" s="33"/>
      <c r="P47" s="60" t="s">
        <v>755</v>
      </c>
      <c r="R47" s="60" t="s">
        <v>756</v>
      </c>
    </row>
    <row r="48" ht="29" customHeight="1" spans="1:24">
      <c r="A48" s="33"/>
      <c r="B48" s="33"/>
      <c r="C48" s="33"/>
      <c r="D48" s="33"/>
      <c r="E48" s="33" t="s">
        <v>758</v>
      </c>
      <c r="F48" s="33"/>
      <c r="G48" s="33"/>
      <c r="H48" s="33"/>
      <c r="I48" s="33" t="s">
        <v>758</v>
      </c>
      <c r="J48" s="33"/>
      <c r="K48" s="33"/>
      <c r="L48" s="33"/>
      <c r="M48" s="33"/>
      <c r="N48" s="60" t="s">
        <v>759</v>
      </c>
      <c r="O48" s="60" t="s">
        <v>760</v>
      </c>
      <c r="P48" s="60" t="s">
        <v>761</v>
      </c>
      <c r="Q48" s="60" t="s">
        <v>762</v>
      </c>
      <c r="R48" s="60" t="s">
        <v>761</v>
      </c>
      <c r="S48" s="60" t="s">
        <v>762</v>
      </c>
      <c r="U48" s="40" t="s">
        <v>763</v>
      </c>
      <c r="V48" s="41" t="s">
        <v>764</v>
      </c>
      <c r="W48" s="41" t="s">
        <v>765</v>
      </c>
      <c r="X48" s="41" t="s">
        <v>766</v>
      </c>
    </row>
    <row r="49" ht="25" customHeight="1" spans="1:24">
      <c r="A49" s="33"/>
      <c r="B49" s="33" t="s">
        <v>767</v>
      </c>
      <c r="C49" s="33"/>
      <c r="D49" s="33"/>
      <c r="E49" s="86">
        <v>23</v>
      </c>
      <c r="F49" s="86"/>
      <c r="G49" s="86"/>
      <c r="H49" s="86"/>
      <c r="I49" s="63">
        <v>22</v>
      </c>
      <c r="J49" s="63"/>
      <c r="K49" s="63"/>
      <c r="L49" s="33">
        <f t="shared" ref="L49:L55" si="0">IF(MOD(AVERAGE(Q49,S49)*10^(0),1)=0.5,ROUND(AVERAGE(Q49,S49)/2,0)*2,ROUND(AVERAGE(Q49,S49),0))</f>
        <v>4</v>
      </c>
      <c r="M49" s="33"/>
      <c r="N49" s="60">
        <v>4.75</v>
      </c>
      <c r="O49" s="101">
        <f t="shared" ref="O49:O54" si="1">PI()*(300/2)^2*SQRT(N49)/300</f>
        <v>513.520683703788</v>
      </c>
      <c r="P49" s="123">
        <f t="shared" ref="P49:P55" si="2">IF(MOD(E49/500*10^1,1)=0.5,ROUND(E49/500*100/2,1)*2,ROUND(E49/500*100,1))</f>
        <v>4.6</v>
      </c>
      <c r="Q49" s="123">
        <f>P49</f>
        <v>4.6</v>
      </c>
      <c r="R49" s="123">
        <f t="shared" ref="R49:R55" si="3">IF(MOD(I49/500*10^1,1)=0.5,ROUND(I49/500*100/2,1)*2,ROUND(I49/500*100,1))</f>
        <v>4.4</v>
      </c>
      <c r="S49" s="134">
        <f>R49</f>
        <v>4.4</v>
      </c>
      <c r="U49" s="40" t="s">
        <v>768</v>
      </c>
      <c r="V49" s="30" t="s">
        <v>769</v>
      </c>
      <c r="W49" s="30" t="s">
        <v>769</v>
      </c>
      <c r="X49" s="30" t="s">
        <v>769</v>
      </c>
    </row>
    <row r="50" ht="25" customHeight="1" spans="1:24">
      <c r="A50" s="33"/>
      <c r="B50" s="33" t="s">
        <v>770</v>
      </c>
      <c r="C50" s="33"/>
      <c r="D50" s="33"/>
      <c r="E50" s="86">
        <v>65</v>
      </c>
      <c r="F50" s="86"/>
      <c r="G50" s="86"/>
      <c r="H50" s="86"/>
      <c r="I50" s="63">
        <v>67</v>
      </c>
      <c r="J50" s="63"/>
      <c r="K50" s="63"/>
      <c r="L50" s="33">
        <f t="shared" si="0"/>
        <v>18</v>
      </c>
      <c r="M50" s="33"/>
      <c r="N50" s="60">
        <v>2.36</v>
      </c>
      <c r="O50" s="101">
        <f t="shared" si="1"/>
        <v>361.965465789847</v>
      </c>
      <c r="P50" s="124">
        <f t="shared" si="2"/>
        <v>13</v>
      </c>
      <c r="Q50" s="123">
        <f>SUM($P$49:P50)</f>
        <v>17.6</v>
      </c>
      <c r="R50" s="123">
        <f t="shared" si="3"/>
        <v>13.4</v>
      </c>
      <c r="S50" s="135">
        <f>SUM($R$49:R50)</f>
        <v>17.8</v>
      </c>
      <c r="U50" s="40" t="s">
        <v>771</v>
      </c>
      <c r="V50" s="18" t="s">
        <v>772</v>
      </c>
      <c r="W50" s="18" t="s">
        <v>773</v>
      </c>
      <c r="X50" s="18" t="s">
        <v>774</v>
      </c>
    </row>
    <row r="51" ht="25" customHeight="1" spans="1:24">
      <c r="A51" s="33"/>
      <c r="B51" s="33" t="s">
        <v>775</v>
      </c>
      <c r="C51" s="33"/>
      <c r="D51" s="33"/>
      <c r="E51" s="86">
        <v>94</v>
      </c>
      <c r="F51" s="86"/>
      <c r="G51" s="86"/>
      <c r="H51" s="86"/>
      <c r="I51" s="63">
        <v>91</v>
      </c>
      <c r="J51" s="63"/>
      <c r="K51" s="63"/>
      <c r="L51" s="33">
        <f t="shared" si="0"/>
        <v>36</v>
      </c>
      <c r="M51" s="33"/>
      <c r="N51" s="60">
        <v>1.18</v>
      </c>
      <c r="O51" s="101">
        <f t="shared" si="1"/>
        <v>255.948235415348</v>
      </c>
      <c r="P51" s="123">
        <f t="shared" si="2"/>
        <v>18.8</v>
      </c>
      <c r="Q51" s="123">
        <f>SUM($P$49:P51)</f>
        <v>36.4</v>
      </c>
      <c r="R51" s="123">
        <f t="shared" si="3"/>
        <v>18.2</v>
      </c>
      <c r="S51" s="135">
        <f>SUM($R$49:R51)</f>
        <v>36</v>
      </c>
      <c r="U51" s="40" t="s">
        <v>776</v>
      </c>
      <c r="V51" s="18" t="s">
        <v>777</v>
      </c>
      <c r="W51" s="18" t="s">
        <v>778</v>
      </c>
      <c r="X51" s="18" t="s">
        <v>773</v>
      </c>
    </row>
    <row r="52" ht="25" customHeight="1" spans="1:24">
      <c r="A52" s="33"/>
      <c r="B52" s="33" t="s">
        <v>779</v>
      </c>
      <c r="C52" s="33"/>
      <c r="D52" s="33"/>
      <c r="E52" s="86">
        <v>103</v>
      </c>
      <c r="F52" s="86"/>
      <c r="G52" s="86"/>
      <c r="H52" s="86"/>
      <c r="I52" s="63">
        <v>101</v>
      </c>
      <c r="J52" s="63"/>
      <c r="K52" s="63"/>
      <c r="L52" s="33">
        <f t="shared" si="0"/>
        <v>57</v>
      </c>
      <c r="M52" s="33"/>
      <c r="N52" s="60">
        <v>0.6</v>
      </c>
      <c r="O52" s="101">
        <f t="shared" si="1"/>
        <v>182.510040418813</v>
      </c>
      <c r="P52" s="123">
        <f t="shared" si="2"/>
        <v>20.6</v>
      </c>
      <c r="Q52" s="124">
        <f>SUM($P$49:P52)</f>
        <v>57</v>
      </c>
      <c r="R52" s="123">
        <f t="shared" si="3"/>
        <v>20.2</v>
      </c>
      <c r="S52" s="135">
        <f>SUM($R$49:R52)</f>
        <v>56.2</v>
      </c>
      <c r="U52" s="40" t="s">
        <v>780</v>
      </c>
      <c r="V52" s="18" t="s">
        <v>781</v>
      </c>
      <c r="W52" s="18" t="s">
        <v>782</v>
      </c>
      <c r="X52" s="18" t="s">
        <v>783</v>
      </c>
    </row>
    <row r="53" ht="25" customHeight="1" spans="1:24">
      <c r="A53" s="33"/>
      <c r="B53" s="33" t="s">
        <v>784</v>
      </c>
      <c r="C53" s="33"/>
      <c r="D53" s="33"/>
      <c r="E53" s="86">
        <v>127</v>
      </c>
      <c r="F53" s="86"/>
      <c r="G53" s="86"/>
      <c r="H53" s="86"/>
      <c r="I53" s="63">
        <v>125</v>
      </c>
      <c r="J53" s="63"/>
      <c r="K53" s="63"/>
      <c r="L53" s="33">
        <f t="shared" si="0"/>
        <v>82</v>
      </c>
      <c r="M53" s="33"/>
      <c r="N53" s="60">
        <v>0.3</v>
      </c>
      <c r="O53" s="101">
        <f t="shared" si="1"/>
        <v>129.054087214773</v>
      </c>
      <c r="P53" s="123">
        <f t="shared" si="2"/>
        <v>25.4</v>
      </c>
      <c r="Q53" s="123">
        <f>SUM($P$49:P53)</f>
        <v>82.4</v>
      </c>
      <c r="R53" s="123">
        <f t="shared" si="3"/>
        <v>25</v>
      </c>
      <c r="S53" s="135">
        <f>SUM($R$49:R53)</f>
        <v>81.2</v>
      </c>
      <c r="U53" s="40" t="s">
        <v>785</v>
      </c>
      <c r="V53" s="18" t="s">
        <v>786</v>
      </c>
      <c r="W53" s="18" t="s">
        <v>787</v>
      </c>
      <c r="X53" s="18" t="s">
        <v>788</v>
      </c>
    </row>
    <row r="54" ht="25" customHeight="1" spans="1:24">
      <c r="A54" s="33"/>
      <c r="B54" s="33" t="s">
        <v>789</v>
      </c>
      <c r="C54" s="33"/>
      <c r="D54" s="33"/>
      <c r="E54" s="86">
        <v>54</v>
      </c>
      <c r="F54" s="86"/>
      <c r="G54" s="86"/>
      <c r="H54" s="86"/>
      <c r="I54" s="63">
        <v>53</v>
      </c>
      <c r="J54" s="63"/>
      <c r="K54" s="63"/>
      <c r="L54" s="33">
        <f t="shared" si="0"/>
        <v>92</v>
      </c>
      <c r="M54" s="33"/>
      <c r="N54" s="60">
        <v>0.15</v>
      </c>
      <c r="O54" s="101">
        <f t="shared" si="1"/>
        <v>91.2550202094063</v>
      </c>
      <c r="P54" s="123">
        <f t="shared" si="2"/>
        <v>10.8</v>
      </c>
      <c r="Q54" s="123">
        <f>SUM($P$49:P54)</f>
        <v>93.2</v>
      </c>
      <c r="R54" s="123">
        <f t="shared" si="3"/>
        <v>10.6</v>
      </c>
      <c r="S54" s="135">
        <f>SUM($R$49:R54)</f>
        <v>91.8</v>
      </c>
      <c r="U54" s="40" t="s">
        <v>790</v>
      </c>
      <c r="V54" s="18" t="str">
        <f>IF($C$11="机制","97～85","100～90")</f>
        <v>100～90</v>
      </c>
      <c r="W54" s="18" t="str">
        <f>IF($C$11="机制","94～80","100～90")</f>
        <v>100～90</v>
      </c>
      <c r="X54" s="18" t="str">
        <f>IF($C$11="机制","94～75","100～90")</f>
        <v>100～90</v>
      </c>
    </row>
    <row r="55" ht="25" customHeight="1" spans="1:19">
      <c r="A55" s="33"/>
      <c r="B55" s="33" t="s">
        <v>791</v>
      </c>
      <c r="C55" s="33"/>
      <c r="D55" s="33"/>
      <c r="E55" s="86">
        <v>32</v>
      </c>
      <c r="F55" s="86"/>
      <c r="G55" s="86"/>
      <c r="H55" s="86"/>
      <c r="I55" s="63">
        <v>36</v>
      </c>
      <c r="J55" s="63"/>
      <c r="K55" s="63"/>
      <c r="L55" s="33">
        <f t="shared" si="0"/>
        <v>99</v>
      </c>
      <c r="M55" s="33"/>
      <c r="P55" s="123">
        <f t="shared" si="2"/>
        <v>6.4</v>
      </c>
      <c r="Q55" s="123">
        <f>SUM($P$49:P55)</f>
        <v>99.6</v>
      </c>
      <c r="R55" s="123">
        <f t="shared" si="3"/>
        <v>7.2</v>
      </c>
      <c r="S55" s="136">
        <f>SUM($R$49:R55)</f>
        <v>99</v>
      </c>
    </row>
    <row r="56" ht="25" customHeight="1" spans="1:16">
      <c r="A56" s="33"/>
      <c r="B56" s="33" t="s">
        <v>792</v>
      </c>
      <c r="C56" s="33"/>
      <c r="D56" s="33"/>
      <c r="E56" s="87">
        <f>500-SUM(E49:H55)</f>
        <v>2</v>
      </c>
      <c r="F56" s="87"/>
      <c r="G56" s="87"/>
      <c r="H56" s="87"/>
      <c r="I56" s="33">
        <f>500-SUM(I49:K55)</f>
        <v>5</v>
      </c>
      <c r="J56" s="33"/>
      <c r="K56" s="33"/>
      <c r="L56" s="33" t="s">
        <v>793</v>
      </c>
      <c r="M56" s="33"/>
      <c r="N56" s="125" t="str">
        <f>IF(AND(L57&gt;=0.7,L57&lt;=1.5),O59,IF(AND(L57&gt;=1.6,L57&lt;=2.2),O58,IF(AND(L57&gt;=2.3,L57&lt;=3),O57,IF(AND(L57&gt;=3.1,L57&lt;=3.7),O56,"计算错误"))))</f>
        <v>中砂</v>
      </c>
      <c r="O56" s="60" t="s">
        <v>794</v>
      </c>
      <c r="P56" s="60" t="s">
        <v>795</v>
      </c>
    </row>
    <row r="57" ht="25" customHeight="1" spans="1:16">
      <c r="A57" s="33"/>
      <c r="B57" s="33" t="s">
        <v>796</v>
      </c>
      <c r="C57" s="33"/>
      <c r="D57" s="33"/>
      <c r="E57" s="33">
        <f>IF(MOD((SUM(Q50:Q54)-5*Q49)/(100-Q49)*10^2,1)=0.5,ROUND((SUM(Q50:Q54)-5*Q49)/(100-Q49)/2,2)*2,ROUND((SUM(Q50:Q54)-5*Q49)/(100-Q49),2))</f>
        <v>2.76</v>
      </c>
      <c r="F57" s="33"/>
      <c r="G57" s="33"/>
      <c r="H57" s="33"/>
      <c r="I57" s="33">
        <f>IF(MOD((SUM(S50:S54)-5*S49)/(100-S49)*10^2,1)=0.5,ROUND((SUM(S50:S54)-5*S49)/(100-S49)/2,2)*2,ROUND((SUM(S50:S54)-5*S49)/(100-S49),2))</f>
        <v>2.73</v>
      </c>
      <c r="J57" s="33"/>
      <c r="K57" s="33"/>
      <c r="L57" s="33">
        <f>IF(MOD(AVERAGE(E57:K57)*10,1)=0.5,ROUND(AVERAGE(E57:K57)/2,1)*2,ROUND(AVERAGE(E57:K57),1))</f>
        <v>2.7</v>
      </c>
      <c r="M57" s="33"/>
      <c r="N57" s="125"/>
      <c r="O57" s="60" t="s">
        <v>797</v>
      </c>
      <c r="P57" s="60" t="s">
        <v>798</v>
      </c>
    </row>
    <row r="58" ht="64" customHeight="1" spans="1:16">
      <c r="A58" s="33" t="s">
        <v>799</v>
      </c>
      <c r="B58" s="88" t="s">
        <v>800</v>
      </c>
      <c r="C58" s="19"/>
      <c r="D58" s="19"/>
      <c r="E58" s="19"/>
      <c r="F58" s="19"/>
      <c r="G58" s="19"/>
      <c r="H58" s="19"/>
      <c r="I58" s="19"/>
      <c r="J58" s="19"/>
      <c r="K58" s="19"/>
      <c r="L58" s="19"/>
      <c r="M58" s="19"/>
      <c r="N58" s="125" t="str">
        <f>IF(AND(L52&gt;16,L52&lt;40),"Ⅰ",IF(AND(L52&gt;41,L52&lt;70),"Ⅱ",IF(AND(L52&gt;71,L52&lt;85),"Ⅲ")))</f>
        <v>Ⅱ</v>
      </c>
      <c r="O58" s="60" t="s">
        <v>801</v>
      </c>
      <c r="P58" s="60" t="s">
        <v>802</v>
      </c>
    </row>
    <row r="59" ht="40" customHeight="1" spans="1:16">
      <c r="A59" s="33" t="s">
        <v>803</v>
      </c>
      <c r="B59" s="33" t="s">
        <v>804</v>
      </c>
      <c r="C59" s="33"/>
      <c r="D59" s="33"/>
      <c r="E59" s="33"/>
      <c r="F59" s="33"/>
      <c r="G59" s="33"/>
      <c r="H59" s="33"/>
      <c r="I59" s="33"/>
      <c r="J59" s="33"/>
      <c r="K59" s="33"/>
      <c r="L59" s="33"/>
      <c r="M59" s="33"/>
      <c r="N59" s="126"/>
      <c r="O59" s="60" t="s">
        <v>805</v>
      </c>
      <c r="P59" s="119" t="s">
        <v>806</v>
      </c>
    </row>
  </sheetData>
  <mergeCells count="169">
    <mergeCell ref="A1:M1"/>
    <mergeCell ref="U1:V1"/>
    <mergeCell ref="A2:M2"/>
    <mergeCell ref="H3:I3"/>
    <mergeCell ref="K3:M3"/>
    <mergeCell ref="A4:B4"/>
    <mergeCell ref="C4:M4"/>
    <mergeCell ref="A5:B5"/>
    <mergeCell ref="F5:G5"/>
    <mergeCell ref="A6:B6"/>
    <mergeCell ref="C6:D6"/>
    <mergeCell ref="E6:G6"/>
    <mergeCell ref="H6:I6"/>
    <mergeCell ref="J6:M6"/>
    <mergeCell ref="A7:B7"/>
    <mergeCell ref="C7:M7"/>
    <mergeCell ref="C9:H9"/>
    <mergeCell ref="L10:M10"/>
    <mergeCell ref="D12:E12"/>
    <mergeCell ref="F12:G12"/>
    <mergeCell ref="H12:I12"/>
    <mergeCell ref="D13:E13"/>
    <mergeCell ref="F13:G13"/>
    <mergeCell ref="H13:I13"/>
    <mergeCell ref="L14:M14"/>
    <mergeCell ref="D16:E16"/>
    <mergeCell ref="F16:G16"/>
    <mergeCell ref="H16:I16"/>
    <mergeCell ref="D17:E17"/>
    <mergeCell ref="F17:G17"/>
    <mergeCell ref="H17:I17"/>
    <mergeCell ref="I18:M18"/>
    <mergeCell ref="D19:E19"/>
    <mergeCell ref="F19:G19"/>
    <mergeCell ref="H19:I19"/>
    <mergeCell ref="K19:L19"/>
    <mergeCell ref="D20:E20"/>
    <mergeCell ref="F20:G20"/>
    <mergeCell ref="H20:I20"/>
    <mergeCell ref="D21:E21"/>
    <mergeCell ref="F21:G21"/>
    <mergeCell ref="H21:I21"/>
    <mergeCell ref="I22:M22"/>
    <mergeCell ref="C23:H23"/>
    <mergeCell ref="K24:M24"/>
    <mergeCell ref="N24:P24"/>
    <mergeCell ref="K25:L25"/>
    <mergeCell ref="D26:G26"/>
    <mergeCell ref="H26:J26"/>
    <mergeCell ref="K26:L26"/>
    <mergeCell ref="D27:G27"/>
    <mergeCell ref="H27:J27"/>
    <mergeCell ref="K27:L27"/>
    <mergeCell ref="I28:M28"/>
    <mergeCell ref="C29:H29"/>
    <mergeCell ref="K30:M30"/>
    <mergeCell ref="K31:L31"/>
    <mergeCell ref="D32:G32"/>
    <mergeCell ref="H32:J32"/>
    <mergeCell ref="K32:L32"/>
    <mergeCell ref="D33:G33"/>
    <mergeCell ref="H33:J33"/>
    <mergeCell ref="K33:L33"/>
    <mergeCell ref="A34:B34"/>
    <mergeCell ref="C34:M34"/>
    <mergeCell ref="D40:M40"/>
    <mergeCell ref="D41:M41"/>
    <mergeCell ref="K42:M42"/>
    <mergeCell ref="K43:L43"/>
    <mergeCell ref="B44:C44"/>
    <mergeCell ref="D44:G44"/>
    <mergeCell ref="H44:J44"/>
    <mergeCell ref="K44:L44"/>
    <mergeCell ref="B45:C45"/>
    <mergeCell ref="D45:G45"/>
    <mergeCell ref="H45:J45"/>
    <mergeCell ref="K45:L45"/>
    <mergeCell ref="B46:C46"/>
    <mergeCell ref="I46:M46"/>
    <mergeCell ref="E47:H47"/>
    <mergeCell ref="I47:K47"/>
    <mergeCell ref="P47:Q47"/>
    <mergeCell ref="R47:S47"/>
    <mergeCell ref="E48:H48"/>
    <mergeCell ref="I48:K48"/>
    <mergeCell ref="B49:D49"/>
    <mergeCell ref="E49:H49"/>
    <mergeCell ref="I49:K49"/>
    <mergeCell ref="L49:M49"/>
    <mergeCell ref="B50:D50"/>
    <mergeCell ref="E50:H50"/>
    <mergeCell ref="I50:K50"/>
    <mergeCell ref="L50:M50"/>
    <mergeCell ref="B51:D51"/>
    <mergeCell ref="E51:H51"/>
    <mergeCell ref="I51:K51"/>
    <mergeCell ref="L51:M51"/>
    <mergeCell ref="B52:D52"/>
    <mergeCell ref="E52:H52"/>
    <mergeCell ref="I52:K52"/>
    <mergeCell ref="L52:M52"/>
    <mergeCell ref="B53:D53"/>
    <mergeCell ref="E53:H53"/>
    <mergeCell ref="I53:K53"/>
    <mergeCell ref="L53:M53"/>
    <mergeCell ref="B54:D54"/>
    <mergeCell ref="E54:H54"/>
    <mergeCell ref="I54:K54"/>
    <mergeCell ref="L54:M54"/>
    <mergeCell ref="B55:D55"/>
    <mergeCell ref="E55:H55"/>
    <mergeCell ref="I55:K55"/>
    <mergeCell ref="L55:M55"/>
    <mergeCell ref="B56:D56"/>
    <mergeCell ref="E56:H56"/>
    <mergeCell ref="I56:K56"/>
    <mergeCell ref="L56:M56"/>
    <mergeCell ref="B57:D57"/>
    <mergeCell ref="E57:H57"/>
    <mergeCell ref="I57:K57"/>
    <mergeCell ref="L57:M57"/>
    <mergeCell ref="B58:M58"/>
    <mergeCell ref="B59:M59"/>
    <mergeCell ref="A35:A45"/>
    <mergeCell ref="A46:A57"/>
    <mergeCell ref="B35:B41"/>
    <mergeCell ref="C10:C11"/>
    <mergeCell ref="C14:C15"/>
    <mergeCell ref="C24:C25"/>
    <mergeCell ref="C30:C31"/>
    <mergeCell ref="C36:C39"/>
    <mergeCell ref="C40:C41"/>
    <mergeCell ref="J10:J11"/>
    <mergeCell ref="J14:J15"/>
    <mergeCell ref="K10:K11"/>
    <mergeCell ref="K14:K15"/>
    <mergeCell ref="M12:M13"/>
    <mergeCell ref="M16:M17"/>
    <mergeCell ref="M20:M21"/>
    <mergeCell ref="M26:M27"/>
    <mergeCell ref="M32:M33"/>
    <mergeCell ref="M44:M45"/>
    <mergeCell ref="N56:N57"/>
    <mergeCell ref="D10:E11"/>
    <mergeCell ref="F10:G11"/>
    <mergeCell ref="H10:I11"/>
    <mergeCell ref="D14:E15"/>
    <mergeCell ref="F14:G15"/>
    <mergeCell ref="H14:I15"/>
    <mergeCell ref="D24:G25"/>
    <mergeCell ref="H24:J25"/>
    <mergeCell ref="D30:G31"/>
    <mergeCell ref="H30:J31"/>
    <mergeCell ref="A8:B17"/>
    <mergeCell ref="A18:B21"/>
    <mergeCell ref="A22:B27"/>
    <mergeCell ref="A28:B33"/>
    <mergeCell ref="H36:J37"/>
    <mergeCell ref="K36:M37"/>
    <mergeCell ref="K20:L21"/>
    <mergeCell ref="D36:G37"/>
    <mergeCell ref="D42:G43"/>
    <mergeCell ref="H42:J43"/>
    <mergeCell ref="B42:C43"/>
    <mergeCell ref="L47:M48"/>
    <mergeCell ref="B47:D48"/>
    <mergeCell ref="D38:G39"/>
    <mergeCell ref="H38:J39"/>
    <mergeCell ref="K38:M39"/>
  </mergeCells>
  <conditionalFormatting sqref="E49:H49">
    <cfRule type="cellIs" dxfId="0" priority="24" operator="greaterThan">
      <formula>$O$49</formula>
    </cfRule>
    <cfRule type="cellIs" dxfId="0" priority="27" operator="greaterThan">
      <formula>$O49</formula>
    </cfRule>
  </conditionalFormatting>
  <conditionalFormatting sqref="I49:K49">
    <cfRule type="cellIs" dxfId="0" priority="10" operator="greaterThan">
      <formula>$O$49</formula>
    </cfRule>
  </conditionalFormatting>
  <conditionalFormatting sqref="E50:H50">
    <cfRule type="cellIs" dxfId="0" priority="25" operator="greaterThan">
      <formula>$O$50</formula>
    </cfRule>
    <cfRule type="cellIs" dxfId="0" priority="26" operator="greaterThan">
      <formula>$O50</formula>
    </cfRule>
  </conditionalFormatting>
  <conditionalFormatting sqref="E51:H51">
    <cfRule type="cellIs" dxfId="0" priority="23" operator="greaterThan">
      <formula>$O$51</formula>
    </cfRule>
  </conditionalFormatting>
  <conditionalFormatting sqref="E52:H52">
    <cfRule type="cellIs" dxfId="0" priority="22" operator="greaterThan">
      <formula>$O$52</formula>
    </cfRule>
  </conditionalFormatting>
  <conditionalFormatting sqref="E53:H53">
    <cfRule type="cellIs" dxfId="0" priority="21" operator="greaterThan">
      <formula>$O$53</formula>
    </cfRule>
  </conditionalFormatting>
  <conditionalFormatting sqref="E54:H54">
    <cfRule type="cellIs" dxfId="0" priority="20" operator="greaterThan">
      <formula>$O$54</formula>
    </cfRule>
  </conditionalFormatting>
  <conditionalFormatting sqref="E56:H56">
    <cfRule type="cellIs" dxfId="0" priority="2" operator="lessThan">
      <formula>0</formula>
    </cfRule>
    <cfRule type="cellIs" dxfId="0" priority="29" operator="greaterThan">
      <formula>5</formula>
    </cfRule>
  </conditionalFormatting>
  <conditionalFormatting sqref="I56:K56">
    <cfRule type="cellIs" dxfId="0" priority="1" operator="lessThan">
      <formula>0</formula>
    </cfRule>
    <cfRule type="cellIs" dxfId="0" priority="28" operator="greaterThan">
      <formula>5</formula>
    </cfRule>
  </conditionalFormatting>
  <conditionalFormatting sqref="L12:L13">
    <cfRule type="expression" dxfId="1" priority="3">
      <formula>IF(ABS($L$12-$L$13)&gt;20,TRUE)</formula>
    </cfRule>
  </conditionalFormatting>
  <conditionalFormatting sqref="M12:M13">
    <cfRule type="cellIs" dxfId="0" priority="12" operator="lessThan">
      <formula>2500</formula>
    </cfRule>
  </conditionalFormatting>
  <conditionalFormatting sqref="M16:M17">
    <cfRule type="cellIs" dxfId="0" priority="11" operator="lessThan">
      <formula>2500</formula>
    </cfRule>
  </conditionalFormatting>
  <conditionalFormatting sqref="M26:M27">
    <cfRule type="cellIs" dxfId="0" priority="8" operator="greaterThan">
      <formula>1</formula>
    </cfRule>
  </conditionalFormatting>
  <conditionalFormatting sqref="M44:M45">
    <cfRule type="expression" dxfId="1" priority="5">
      <formula>IF(OR(AND($M$38&gt;=1.4,$M$44&gt;2),AND($M$38&lt;1.4,$M$44&gt;5)),TRUE)</formula>
    </cfRule>
  </conditionalFormatting>
  <conditionalFormatting sqref="I50:K55">
    <cfRule type="cellIs" dxfId="0" priority="9" operator="greaterThan">
      <formula>$O$49</formula>
    </cfRule>
  </conditionalFormatting>
  <dataValidations count="2">
    <dataValidation type="list" allowBlank="1" showInputMessage="1" showErrorMessage="1" sqref="D5">
      <formula1>"特细,细,中,粗"</formula1>
    </dataValidation>
    <dataValidation type="list" allowBlank="1" showInputMessage="1" showErrorMessage="1" sqref="L8 J12 J13 J16 J17 L35">
      <formula1>"15,16,17,18,19,20,21,22,23,24,25"</formula1>
    </dataValidation>
  </dataValidations>
  <pageMargins left="0.75" right="0.75" top="1" bottom="1" header="0.5" footer="0.5"/>
  <pageSetup paperSize="9" scale="85" orientation="portrait"/>
  <headerFooter/>
  <rowBreaks count="1" manualBreakCount="1">
    <brk id="33" max="16" man="1"/>
  </rowBreaks>
  <drawing r:id="rId2"/>
  <legacyDrawing r:id="rId3"/>
  <controls>
    <mc:AlternateContent xmlns:mc="http://schemas.openxmlformats.org/markup-compatibility/2006">
      <mc:Choice Requires="x14">
        <control shapeId="3075" r:id="rId4" name="CommandButton1">
          <controlPr defaultSize="0" r:id="rId5">
            <anchor moveWithCells="1">
              <from>
                <xdr:col>13</xdr:col>
                <xdr:colOff>19050</xdr:colOff>
                <xdr:row>11</xdr:row>
                <xdr:rowOff>190500</xdr:rowOff>
              </from>
              <to>
                <xdr:col>13</xdr:col>
                <xdr:colOff>619125</xdr:colOff>
                <xdr:row>12</xdr:row>
                <xdr:rowOff>295275</xdr:rowOff>
              </to>
            </anchor>
          </controlPr>
        </control>
      </mc:Choice>
      <mc:Fallback>
        <control shapeId="3075" r:id="rId4" name="CommandButton1"/>
      </mc:Fallback>
    </mc:AlternateContent>
    <mc:AlternateContent xmlns:mc="http://schemas.openxmlformats.org/markup-compatibility/2006">
      <mc:Choice Requires="x14">
        <control shapeId="3076" r:id="rId6" name="CommandButton2">
          <controlPr defaultSize="0" r:id="rId7">
            <anchor moveWithCells="1">
              <from>
                <xdr:col>13</xdr:col>
                <xdr:colOff>657225</xdr:colOff>
                <xdr:row>11</xdr:row>
                <xdr:rowOff>190500</xdr:rowOff>
              </from>
              <to>
                <xdr:col>14</xdr:col>
                <xdr:colOff>295275</xdr:colOff>
                <xdr:row>12</xdr:row>
                <xdr:rowOff>295275</xdr:rowOff>
              </to>
            </anchor>
          </controlPr>
        </control>
      </mc:Choice>
      <mc:Fallback>
        <control shapeId="3076" r:id="rId6" name="CommandButton2"/>
      </mc:Fallback>
    </mc:AlternateContent>
    <mc:AlternateContent xmlns:mc="http://schemas.openxmlformats.org/markup-compatibility/2006">
      <mc:Choice Requires="x14">
        <control shapeId="3077" r:id="rId8" name="CommandButton3">
          <controlPr defaultSize="0" r:id="rId9">
            <anchor moveWithCells="1">
              <from>
                <xdr:col>13</xdr:col>
                <xdr:colOff>238125</xdr:colOff>
                <xdr:row>19</xdr:row>
                <xdr:rowOff>19050</xdr:rowOff>
              </from>
              <to>
                <xdr:col>14</xdr:col>
                <xdr:colOff>29210</xdr:colOff>
                <xdr:row>20</xdr:row>
                <xdr:rowOff>209550</xdr:rowOff>
              </to>
            </anchor>
          </controlPr>
        </control>
      </mc:Choice>
      <mc:Fallback>
        <control shapeId="3077" r:id="rId8" name="CommandButton3"/>
      </mc:Fallback>
    </mc:AlternateContent>
    <mc:AlternateContent xmlns:mc="http://schemas.openxmlformats.org/markup-compatibility/2006">
      <mc:Choice Requires="x14">
        <control shapeId="3078" r:id="rId10" name="CommandButton4">
          <controlPr defaultSize="0" r:id="rId11">
            <anchor moveWithCells="1">
              <from>
                <xdr:col>13</xdr:col>
                <xdr:colOff>304800</xdr:colOff>
                <xdr:row>26</xdr:row>
                <xdr:rowOff>57150</xdr:rowOff>
              </from>
              <to>
                <xdr:col>14</xdr:col>
                <xdr:colOff>343535</xdr:colOff>
                <xdr:row>27</xdr:row>
                <xdr:rowOff>114300</xdr:rowOff>
              </to>
            </anchor>
          </controlPr>
        </control>
      </mc:Choice>
      <mc:Fallback>
        <control shapeId="3078" r:id="rId10" name="CommandButton4"/>
      </mc:Fallback>
    </mc:AlternateContent>
    <mc:AlternateContent xmlns:mc="http://schemas.openxmlformats.org/markup-compatibility/2006">
      <mc:Choice Requires="x14">
        <control shapeId="3079" r:id="rId12" name="CommandButton5">
          <controlPr defaultSize="0" r:id="rId13">
            <anchor moveWithCells="1">
              <from>
                <xdr:col>13</xdr:col>
                <xdr:colOff>66675</xdr:colOff>
                <xdr:row>37</xdr:row>
                <xdr:rowOff>247650</xdr:rowOff>
              </from>
              <to>
                <xdr:col>13</xdr:col>
                <xdr:colOff>723900</xdr:colOff>
                <xdr:row>39</xdr:row>
                <xdr:rowOff>120650</xdr:rowOff>
              </to>
            </anchor>
          </controlPr>
        </control>
      </mc:Choice>
      <mc:Fallback>
        <control shapeId="3079" r:id="rId12" name="CommandButton5"/>
      </mc:Fallback>
    </mc:AlternateContent>
    <mc:AlternateContent xmlns:mc="http://schemas.openxmlformats.org/markup-compatibility/2006">
      <mc:Choice Requires="x14">
        <control shapeId="3080" r:id="rId14" name="CommandButton6">
          <controlPr defaultSize="0" r:id="rId15">
            <anchor moveWithCells="1">
              <from>
                <xdr:col>13</xdr:col>
                <xdr:colOff>266700</xdr:colOff>
                <xdr:row>43</xdr:row>
                <xdr:rowOff>123825</xdr:rowOff>
              </from>
              <to>
                <xdr:col>14</xdr:col>
                <xdr:colOff>191135</xdr:colOff>
                <xdr:row>44</xdr:row>
                <xdr:rowOff>152400</xdr:rowOff>
              </to>
            </anchor>
          </controlPr>
        </control>
      </mc:Choice>
      <mc:Fallback>
        <control shapeId="3080" r:id="rId14" name="CommandButton6"/>
      </mc:Fallback>
    </mc:AlternateContent>
    <mc:AlternateContent xmlns:mc="http://schemas.openxmlformats.org/markup-compatibility/2006">
      <mc:Choice Requires="x14">
        <control shapeId="3081" r:id="rId16" name="CommandButton7">
          <controlPr defaultSize="0" r:id="rId17">
            <anchor moveWithCells="1">
              <from>
                <xdr:col>13</xdr:col>
                <xdr:colOff>276225</xdr:colOff>
                <xdr:row>1</xdr:row>
                <xdr:rowOff>266700</xdr:rowOff>
              </from>
              <to>
                <xdr:col>14</xdr:col>
                <xdr:colOff>819150</xdr:colOff>
                <xdr:row>3</xdr:row>
                <xdr:rowOff>161925</xdr:rowOff>
              </to>
            </anchor>
          </controlPr>
        </control>
      </mc:Choice>
      <mc:Fallback>
        <control shapeId="3081" r:id="rId16" name="CommandButton7"/>
      </mc:Fallback>
    </mc:AlternateContent>
    <mc:AlternateContent xmlns:mc="http://schemas.openxmlformats.org/markup-compatibility/2006">
      <mc:Choice Requires="x14">
        <control shapeId="3082" r:id="rId18" name="CommandButton8">
          <controlPr defaultSize="0" r:id="rId19">
            <anchor moveWithCells="1">
              <from>
                <xdr:col>14</xdr:col>
                <xdr:colOff>895350</xdr:colOff>
                <xdr:row>1</xdr:row>
                <xdr:rowOff>247650</xdr:rowOff>
              </from>
              <to>
                <xdr:col>16</xdr:col>
                <xdr:colOff>38100</xdr:colOff>
                <xdr:row>3</xdr:row>
                <xdr:rowOff>142875</xdr:rowOff>
              </to>
            </anchor>
          </controlPr>
        </control>
      </mc:Choice>
      <mc:Fallback>
        <control shapeId="3082" r:id="rId18" name="CommandButton8"/>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K35"/>
  <sheetViews>
    <sheetView tabSelected="1" view="pageBreakPreview" zoomScaleNormal="100" workbookViewId="0">
      <selection activeCell="F2" sqref="F2:I2"/>
    </sheetView>
  </sheetViews>
  <sheetFormatPr defaultColWidth="9" defaultRowHeight="13.5"/>
  <cols>
    <col min="1" max="1" width="10.75" customWidth="1"/>
    <col min="5" max="5" width="10.25" customWidth="1"/>
    <col min="7" max="7" width="13.75"/>
    <col min="8" max="8" width="10.75" customWidth="1"/>
    <col min="9" max="9" width="9.625" customWidth="1"/>
    <col min="10" max="10" width="12.625"/>
    <col min="11" max="11" width="13.125" style="1" customWidth="1"/>
  </cols>
  <sheetData>
    <row r="1" ht="17" customHeight="1" spans="1:9">
      <c r="A1" s="2" t="s">
        <v>660</v>
      </c>
      <c r="B1" s="3" t="s">
        <v>807</v>
      </c>
      <c r="C1" s="4"/>
      <c r="D1" s="5"/>
      <c r="E1" s="6"/>
      <c r="F1" s="7" t="s">
        <v>808</v>
      </c>
      <c r="G1" s="7"/>
      <c r="H1" s="7"/>
      <c r="I1" s="7"/>
    </row>
    <row r="2" ht="15" customHeight="1" spans="1:9">
      <c r="A2" s="8"/>
      <c r="B2" s="9"/>
      <c r="C2" s="10"/>
      <c r="E2" s="6"/>
      <c r="F2" s="11" t="s">
        <v>809</v>
      </c>
      <c r="G2" s="11"/>
      <c r="H2" s="11"/>
      <c r="I2" s="11"/>
    </row>
    <row r="3" spans="5:9">
      <c r="E3" s="6"/>
      <c r="F3" s="12" t="s">
        <v>810</v>
      </c>
      <c r="G3" s="12"/>
      <c r="H3" s="12"/>
      <c r="I3" s="12"/>
    </row>
    <row r="4" ht="14" customHeight="1" spans="1:9">
      <c r="A4" s="13"/>
      <c r="B4" s="13"/>
      <c r="C4" s="13"/>
      <c r="D4" s="13"/>
      <c r="E4" s="14"/>
      <c r="F4" s="15"/>
      <c r="G4" s="15"/>
      <c r="H4" s="15"/>
      <c r="I4" s="15"/>
    </row>
    <row r="5" ht="24" customHeight="1" spans="1:9">
      <c r="A5" s="16" t="s">
        <v>811</v>
      </c>
      <c r="B5" s="16"/>
      <c r="C5" s="16"/>
      <c r="D5" s="16"/>
      <c r="E5" s="16"/>
      <c r="F5" s="16"/>
      <c r="G5" s="16"/>
      <c r="H5" s="16"/>
      <c r="I5" s="16"/>
    </row>
    <row r="6" ht="9" customHeight="1" spans="1:9">
      <c r="A6" s="17"/>
      <c r="B6" s="17"/>
      <c r="C6" s="17"/>
      <c r="D6" s="17"/>
      <c r="E6" s="17"/>
      <c r="F6" s="17"/>
      <c r="G6" s="17"/>
      <c r="H6" s="17"/>
      <c r="I6" s="17"/>
    </row>
    <row r="7" ht="20" customHeight="1" spans="1:11">
      <c r="A7" s="18" t="s">
        <v>3</v>
      </c>
      <c r="B7" s="18"/>
      <c r="C7" s="19" t="s">
        <v>654</v>
      </c>
      <c r="D7" s="19"/>
      <c r="E7" s="19"/>
      <c r="F7" s="19"/>
      <c r="G7" s="19"/>
      <c r="H7" s="19"/>
      <c r="I7" s="19"/>
      <c r="J7" s="40" t="s">
        <v>1</v>
      </c>
      <c r="K7" s="50" t="s">
        <v>653</v>
      </c>
    </row>
    <row r="8" ht="20" customHeight="1" spans="1:9">
      <c r="A8" s="18" t="s">
        <v>4</v>
      </c>
      <c r="B8" s="18"/>
      <c r="C8" s="20" t="s">
        <v>154</v>
      </c>
      <c r="D8" s="20"/>
      <c r="E8" s="20"/>
      <c r="F8" s="20"/>
      <c r="G8" s="18" t="s">
        <v>5</v>
      </c>
      <c r="H8" s="18" t="s">
        <v>36</v>
      </c>
      <c r="I8" s="18"/>
    </row>
    <row r="9" ht="20" customHeight="1" spans="1:9">
      <c r="A9" s="18" t="s">
        <v>8</v>
      </c>
      <c r="B9" s="18"/>
      <c r="C9" s="20" t="s">
        <v>20</v>
      </c>
      <c r="D9" s="20"/>
      <c r="E9" s="20"/>
      <c r="F9" s="20"/>
      <c r="G9" s="18" t="s">
        <v>812</v>
      </c>
      <c r="H9" s="18" t="s">
        <v>20</v>
      </c>
      <c r="I9" s="18"/>
    </row>
    <row r="10" ht="20" customHeight="1" spans="1:9">
      <c r="A10" s="18" t="s">
        <v>12</v>
      </c>
      <c r="B10" s="18"/>
      <c r="C10" s="20" t="s">
        <v>154</v>
      </c>
      <c r="D10" s="20"/>
      <c r="E10" s="20"/>
      <c r="F10" s="20"/>
      <c r="G10" s="18" t="s">
        <v>813</v>
      </c>
      <c r="H10" s="18" t="s">
        <v>814</v>
      </c>
      <c r="I10" s="18"/>
    </row>
    <row r="11" ht="20" customHeight="1" spans="1:9">
      <c r="A11" s="18" t="s">
        <v>815</v>
      </c>
      <c r="B11" s="18"/>
      <c r="C11" s="21" t="s">
        <v>816</v>
      </c>
      <c r="D11" s="21"/>
      <c r="E11" s="21"/>
      <c r="F11" s="21"/>
      <c r="G11" s="22" t="s">
        <v>672</v>
      </c>
      <c r="H11" s="23">
        <f>'砂子原始记录（新）'!P1</f>
        <v>44015</v>
      </c>
      <c r="I11" s="23"/>
    </row>
    <row r="12" ht="20" customHeight="1" spans="1:9">
      <c r="A12" s="18" t="s">
        <v>817</v>
      </c>
      <c r="B12" s="18"/>
      <c r="C12" s="24" t="s">
        <v>818</v>
      </c>
      <c r="D12" s="24"/>
      <c r="E12" s="24"/>
      <c r="F12" s="24"/>
      <c r="G12" s="22" t="s">
        <v>684</v>
      </c>
      <c r="H12" s="23">
        <f>'砂子原始记录（新）'!P2</f>
        <v>44019</v>
      </c>
      <c r="I12" s="23"/>
    </row>
    <row r="13" ht="20" customHeight="1" spans="1:9">
      <c r="A13" s="18" t="s">
        <v>668</v>
      </c>
      <c r="B13" s="18"/>
      <c r="C13" s="25" t="s">
        <v>819</v>
      </c>
      <c r="D13" s="26"/>
      <c r="E13" s="26"/>
      <c r="F13" s="27"/>
      <c r="G13" s="22" t="s">
        <v>820</v>
      </c>
      <c r="H13" s="23">
        <f>H12</f>
        <v>44019</v>
      </c>
      <c r="I13" s="23"/>
    </row>
    <row r="14" ht="19" customHeight="1" spans="1:9">
      <c r="A14" s="28" t="s">
        <v>821</v>
      </c>
      <c r="B14" s="29"/>
      <c r="C14" s="25" t="s">
        <v>822</v>
      </c>
      <c r="D14" s="26"/>
      <c r="E14" s="26"/>
      <c r="F14" s="26"/>
      <c r="G14" s="26"/>
      <c r="H14" s="26"/>
      <c r="I14" s="27"/>
    </row>
    <row r="15" ht="19" customHeight="1" spans="1:9">
      <c r="A15" s="18" t="s">
        <v>681</v>
      </c>
      <c r="B15" s="18"/>
      <c r="C15" s="20" t="s">
        <v>682</v>
      </c>
      <c r="D15" s="20"/>
      <c r="E15" s="20"/>
      <c r="F15" s="20"/>
      <c r="G15" s="20"/>
      <c r="H15" s="20"/>
      <c r="I15" s="20"/>
    </row>
    <row r="16" ht="18" customHeight="1" spans="1:11">
      <c r="A16" s="18" t="s">
        <v>823</v>
      </c>
      <c r="B16" s="18"/>
      <c r="C16" s="18" t="s">
        <v>824</v>
      </c>
      <c r="D16" s="18"/>
      <c r="E16" s="18"/>
      <c r="F16" s="18"/>
      <c r="G16" s="18" t="s">
        <v>825</v>
      </c>
      <c r="H16" s="18" t="s">
        <v>826</v>
      </c>
      <c r="I16" s="18"/>
      <c r="K16" s="51"/>
    </row>
    <row r="17" ht="21" customHeight="1" spans="1:11">
      <c r="A17" s="30" t="s">
        <v>827</v>
      </c>
      <c r="B17" s="18"/>
      <c r="C17" s="18" t="s">
        <v>20</v>
      </c>
      <c r="D17" s="18"/>
      <c r="E17" s="18"/>
      <c r="F17" s="18"/>
      <c r="G17" s="18">
        <f>IF('砂子原始记录（新）'!M12&lt;&gt;0,'砂子原始记录（新）'!M12,'砂子原始记录（新）'!M16)</f>
        <v>2650</v>
      </c>
      <c r="H17" s="18" t="s">
        <v>20</v>
      </c>
      <c r="I17" s="18"/>
      <c r="K17" s="52"/>
    </row>
    <row r="18" ht="21" customHeight="1" spans="1:9">
      <c r="A18" s="30" t="s">
        <v>828</v>
      </c>
      <c r="B18" s="18"/>
      <c r="C18" s="18" t="s">
        <v>20</v>
      </c>
      <c r="D18" s="18"/>
      <c r="E18" s="18"/>
      <c r="F18" s="18"/>
      <c r="G18" s="18">
        <f>'砂子原始记录（新）'!K20</f>
        <v>1530</v>
      </c>
      <c r="H18" s="18" t="s">
        <v>20</v>
      </c>
      <c r="I18" s="18"/>
    </row>
    <row r="19" ht="21" customHeight="1" spans="1:9">
      <c r="A19" s="18" t="s">
        <v>829</v>
      </c>
      <c r="B19" s="18"/>
      <c r="C19" s="18" t="s">
        <v>20</v>
      </c>
      <c r="D19" s="18"/>
      <c r="E19" s="18"/>
      <c r="F19" s="18"/>
      <c r="G19" s="31">
        <f>'砂子原始记录（新）'!M20</f>
        <v>42</v>
      </c>
      <c r="H19" s="18" t="s">
        <v>20</v>
      </c>
      <c r="I19" s="18"/>
    </row>
    <row r="20" ht="33" customHeight="1" spans="1:9">
      <c r="A20" s="18" t="s">
        <v>830</v>
      </c>
      <c r="B20" s="18"/>
      <c r="C20" s="32" t="s">
        <v>831</v>
      </c>
      <c r="D20" s="33"/>
      <c r="E20" s="33"/>
      <c r="F20" s="33"/>
      <c r="G20" s="34">
        <f>'砂子原始记录（新）'!M26</f>
        <v>1</v>
      </c>
      <c r="H20" s="18" t="str">
        <f>IF(G20&lt;=2,"合格","不合格")</f>
        <v>合格</v>
      </c>
      <c r="I20" s="18"/>
    </row>
    <row r="21" ht="30" customHeight="1" spans="1:9">
      <c r="A21" s="18" t="s">
        <v>832</v>
      </c>
      <c r="B21" s="18"/>
      <c r="C21" s="32" t="s">
        <v>833</v>
      </c>
      <c r="D21" s="33"/>
      <c r="E21" s="33"/>
      <c r="F21" s="33"/>
      <c r="G21" s="18" t="s">
        <v>20</v>
      </c>
      <c r="H21" s="18" t="s">
        <v>20</v>
      </c>
      <c r="I21" s="18"/>
    </row>
    <row r="22" ht="21" customHeight="1" spans="1:9">
      <c r="A22" s="18" t="s">
        <v>834</v>
      </c>
      <c r="B22" s="18"/>
      <c r="C22" s="18" t="s">
        <v>20</v>
      </c>
      <c r="D22" s="18"/>
      <c r="E22" s="18"/>
      <c r="F22" s="18"/>
      <c r="G22" s="18" t="s">
        <v>20</v>
      </c>
      <c r="H22" s="18" t="s">
        <v>20</v>
      </c>
      <c r="I22" s="18"/>
    </row>
    <row r="23" ht="25" customHeight="1" spans="1:9">
      <c r="A23" s="18" t="s">
        <v>731</v>
      </c>
      <c r="B23" s="33" t="s">
        <v>746</v>
      </c>
      <c r="C23" s="35" t="s">
        <v>835</v>
      </c>
      <c r="D23" s="33"/>
      <c r="E23" s="33"/>
      <c r="F23" s="33"/>
      <c r="G23" s="18">
        <f>'砂子原始记录（新）'!M44</f>
        <v>3.8</v>
      </c>
      <c r="H23" s="36" t="str">
        <f>IF(G24&gt;=1.4,"不合格",IF(G23&lt;=5,"合格","不合格"))</f>
        <v>合格</v>
      </c>
      <c r="I23" s="53"/>
    </row>
    <row r="24" ht="25" customHeight="1" spans="1:9">
      <c r="A24" s="18"/>
      <c r="B24" s="37" t="s">
        <v>836</v>
      </c>
      <c r="C24" s="33"/>
      <c r="D24" s="33"/>
      <c r="E24" s="33"/>
      <c r="F24" s="33"/>
      <c r="G24" s="38">
        <f>'砂子原始记录（新）'!K38</f>
        <v>1.1</v>
      </c>
      <c r="H24" s="39"/>
      <c r="I24" s="54"/>
    </row>
    <row r="25" ht="25" customHeight="1" spans="1:9">
      <c r="A25" s="33" t="s">
        <v>837</v>
      </c>
      <c r="B25" s="33"/>
      <c r="C25" s="40" t="s">
        <v>763</v>
      </c>
      <c r="D25" s="41" t="s">
        <v>764</v>
      </c>
      <c r="E25" s="41" t="s">
        <v>765</v>
      </c>
      <c r="F25" s="41" t="s">
        <v>766</v>
      </c>
      <c r="G25" s="18" t="s">
        <v>825</v>
      </c>
      <c r="H25" s="18" t="s">
        <v>826</v>
      </c>
      <c r="I25" s="55"/>
    </row>
    <row r="26" ht="23" customHeight="1" spans="1:9">
      <c r="A26" s="33"/>
      <c r="B26" s="33"/>
      <c r="C26" s="37" t="s">
        <v>768</v>
      </c>
      <c r="D26" s="30" t="s">
        <v>769</v>
      </c>
      <c r="E26" s="30" t="s">
        <v>769</v>
      </c>
      <c r="F26" s="30" t="s">
        <v>769</v>
      </c>
      <c r="G26" s="18">
        <f>'砂子原始记录（新）'!L49</f>
        <v>4</v>
      </c>
      <c r="H26" s="42" t="s">
        <v>838</v>
      </c>
      <c r="I26" s="56">
        <f>'砂子原始记录（新）'!L57</f>
        <v>2.7</v>
      </c>
    </row>
    <row r="27" ht="23" customHeight="1" spans="1:9">
      <c r="A27" s="33"/>
      <c r="B27" s="33"/>
      <c r="C27" s="37" t="s">
        <v>771</v>
      </c>
      <c r="D27" s="18" t="s">
        <v>772</v>
      </c>
      <c r="E27" s="18" t="s">
        <v>773</v>
      </c>
      <c r="F27" s="18" t="s">
        <v>774</v>
      </c>
      <c r="G27" s="18">
        <f>'砂子原始记录（新）'!L50</f>
        <v>18</v>
      </c>
      <c r="H27" s="42"/>
      <c r="I27" s="57"/>
    </row>
    <row r="28" ht="23" customHeight="1" spans="1:9">
      <c r="A28" s="33"/>
      <c r="B28" s="33"/>
      <c r="C28" s="37" t="s">
        <v>776</v>
      </c>
      <c r="D28" s="18" t="s">
        <v>777</v>
      </c>
      <c r="E28" s="18" t="s">
        <v>778</v>
      </c>
      <c r="F28" s="18" t="s">
        <v>773</v>
      </c>
      <c r="G28" s="18">
        <f>'砂子原始记录（新）'!L51</f>
        <v>36</v>
      </c>
      <c r="H28" s="42"/>
      <c r="I28" s="57"/>
    </row>
    <row r="29" ht="23" customHeight="1" spans="1:9">
      <c r="A29" s="33"/>
      <c r="B29" s="33"/>
      <c r="C29" s="37" t="s">
        <v>780</v>
      </c>
      <c r="D29" s="18" t="s">
        <v>781</v>
      </c>
      <c r="E29" s="18" t="s">
        <v>782</v>
      </c>
      <c r="F29" s="18" t="s">
        <v>783</v>
      </c>
      <c r="G29" s="18">
        <f>'砂子原始记录（新）'!L52</f>
        <v>57</v>
      </c>
      <c r="H29" s="42"/>
      <c r="I29" s="57"/>
    </row>
    <row r="30" ht="23" customHeight="1" spans="1:9">
      <c r="A30" s="33"/>
      <c r="B30" s="33"/>
      <c r="C30" s="37" t="s">
        <v>785</v>
      </c>
      <c r="D30" s="18" t="s">
        <v>786</v>
      </c>
      <c r="E30" s="18" t="s">
        <v>787</v>
      </c>
      <c r="F30" s="18" t="s">
        <v>788</v>
      </c>
      <c r="G30" s="18">
        <f>'砂子原始记录（新）'!L53</f>
        <v>82</v>
      </c>
      <c r="H30" s="42"/>
      <c r="I30" s="57"/>
    </row>
    <row r="31" ht="23" customHeight="1" spans="1:9">
      <c r="A31" s="33"/>
      <c r="B31" s="33"/>
      <c r="C31" s="37" t="s">
        <v>790</v>
      </c>
      <c r="D31" s="18" t="str">
        <f>IF($C$13="机制","97～85","100～90")</f>
        <v>100～90</v>
      </c>
      <c r="E31" s="18" t="str">
        <f>IF($C$13="机制","94～80","100～90")</f>
        <v>100～90</v>
      </c>
      <c r="F31" s="18" t="str">
        <f>IF($C$13="机制","94～75","100～90")</f>
        <v>100～90</v>
      </c>
      <c r="G31" s="18">
        <f>'砂子原始记录（新）'!L54</f>
        <v>92</v>
      </c>
      <c r="H31" s="42"/>
      <c r="I31" s="58"/>
    </row>
    <row r="32" ht="24" customHeight="1" spans="1:9">
      <c r="A32" s="43" t="s">
        <v>839</v>
      </c>
      <c r="B32" s="44" t="s">
        <v>840</v>
      </c>
      <c r="C32" s="44"/>
      <c r="D32" s="44"/>
      <c r="E32" s="44"/>
      <c r="F32" s="44"/>
      <c r="G32" s="44"/>
      <c r="H32" s="44"/>
      <c r="I32" s="59"/>
    </row>
    <row r="33" ht="20" customHeight="1" spans="1:9">
      <c r="A33" s="37" t="s">
        <v>841</v>
      </c>
      <c r="B33" s="20" t="s">
        <v>20</v>
      </c>
      <c r="C33" s="20"/>
      <c r="D33" s="20"/>
      <c r="E33" s="20"/>
      <c r="F33" s="20"/>
      <c r="G33" s="20"/>
      <c r="H33" s="20"/>
      <c r="I33" s="20"/>
    </row>
    <row r="34" ht="45" customHeight="1" spans="1:9">
      <c r="A34" s="37" t="s">
        <v>842</v>
      </c>
      <c r="B34" s="45" t="s">
        <v>843</v>
      </c>
      <c r="C34" s="46"/>
      <c r="D34" s="46"/>
      <c r="E34" s="46"/>
      <c r="F34" s="46"/>
      <c r="G34" s="46"/>
      <c r="H34" s="46"/>
      <c r="I34" s="46"/>
    </row>
    <row r="35" ht="47" customHeight="1" spans="1:8">
      <c r="A35" s="47" t="s">
        <v>844</v>
      </c>
      <c r="B35" s="48"/>
      <c r="C35" s="48"/>
      <c r="D35" s="48"/>
      <c r="E35" s="49" t="s">
        <v>845</v>
      </c>
      <c r="F35" s="48"/>
      <c r="G35" s="48"/>
      <c r="H35" s="48" t="s">
        <v>846</v>
      </c>
    </row>
  </sheetData>
  <mergeCells count="61">
    <mergeCell ref="F1:I1"/>
    <mergeCell ref="F2:I2"/>
    <mergeCell ref="F3:I3"/>
    <mergeCell ref="A5:I5"/>
    <mergeCell ref="A7:B7"/>
    <mergeCell ref="C7:I7"/>
    <mergeCell ref="A8:B8"/>
    <mergeCell ref="C8:F8"/>
    <mergeCell ref="H8:I8"/>
    <mergeCell ref="A9:B9"/>
    <mergeCell ref="C9:F9"/>
    <mergeCell ref="H9:I9"/>
    <mergeCell ref="A10:B10"/>
    <mergeCell ref="C10:F10"/>
    <mergeCell ref="H10:I10"/>
    <mergeCell ref="A11:B11"/>
    <mergeCell ref="C11:F11"/>
    <mergeCell ref="H11:I11"/>
    <mergeCell ref="A12:B12"/>
    <mergeCell ref="C12:F12"/>
    <mergeCell ref="H12:I12"/>
    <mergeCell ref="A13:B13"/>
    <mergeCell ref="D13:F13"/>
    <mergeCell ref="H13:I13"/>
    <mergeCell ref="A14:B14"/>
    <mergeCell ref="C14:I14"/>
    <mergeCell ref="A15:B15"/>
    <mergeCell ref="C15:I15"/>
    <mergeCell ref="A16:B16"/>
    <mergeCell ref="C16:F16"/>
    <mergeCell ref="H16:I16"/>
    <mergeCell ref="A17:B17"/>
    <mergeCell ref="C17:F17"/>
    <mergeCell ref="H17:I17"/>
    <mergeCell ref="A18:B18"/>
    <mergeCell ref="C18:F18"/>
    <mergeCell ref="H18:I18"/>
    <mergeCell ref="A19:B19"/>
    <mergeCell ref="C19:F19"/>
    <mergeCell ref="H19:I19"/>
    <mergeCell ref="A20:B20"/>
    <mergeCell ref="C20:F20"/>
    <mergeCell ref="H20:I20"/>
    <mergeCell ref="A21:B21"/>
    <mergeCell ref="C21:F21"/>
    <mergeCell ref="H21:I21"/>
    <mergeCell ref="A22:B22"/>
    <mergeCell ref="C22:F22"/>
    <mergeCell ref="H22:I22"/>
    <mergeCell ref="H25:I25"/>
    <mergeCell ref="B32:I32"/>
    <mergeCell ref="B33:I33"/>
    <mergeCell ref="B34:I34"/>
    <mergeCell ref="A1:A2"/>
    <mergeCell ref="A23:A24"/>
    <mergeCell ref="H26:H31"/>
    <mergeCell ref="I26:I31"/>
    <mergeCell ref="A25:B31"/>
    <mergeCell ref="C23:F24"/>
    <mergeCell ref="H23:I24"/>
    <mergeCell ref="B1:C2"/>
  </mergeCells>
  <dataValidations count="1">
    <dataValidation type="list" allowBlank="1" showInputMessage="1" showErrorMessage="1" sqref="H8:I8">
      <formula1>"无见证取样送检,有见证取样送检"</formula1>
    </dataValidation>
  </dataValidations>
  <printOptions horizontalCentered="1"/>
  <pageMargins left="0.700694444444445" right="0.393055555555556" top="0.0784722222222222" bottom="0.0388888888888889" header="0.156944444444444" footer="0.156944444444444"/>
  <pageSetup paperSize="9" scale="98" orientation="portrait" horizontalDpi="600"/>
  <headerFooter>
    <oddFooter>&amp;R第 &amp;P 页，共 &amp;N 页</oddFooter>
  </headerFooter>
  <drawing r:id="rId1"/>
  <legacyDrawing r:id="rId2"/>
  <controls>
    <mc:AlternateContent xmlns:mc="http://schemas.openxmlformats.org/markup-compatibility/2006">
      <mc:Choice Requires="x14">
        <control shapeId="10241" r:id="rId3" name="ListBox1">
          <controlPr defaultSize="0" r:id="rId4">
            <anchor moveWithCells="1">
              <from>
                <xdr:col>11</xdr:col>
                <xdr:colOff>76200</xdr:colOff>
                <xdr:row>7</xdr:row>
                <xdr:rowOff>0</xdr:rowOff>
              </from>
              <to>
                <xdr:col>18</xdr:col>
                <xdr:colOff>438150</xdr:colOff>
                <xdr:row>12</xdr:row>
                <xdr:rowOff>197485</xdr:rowOff>
              </to>
            </anchor>
          </controlPr>
        </control>
      </mc:Choice>
      <mc:Fallback>
        <control shapeId="10241" r:id="rId3" name="ListBox1"/>
      </mc:Fallback>
    </mc:AlternateContent>
    <mc:AlternateContent xmlns:mc="http://schemas.openxmlformats.org/markup-compatibility/2006">
      <mc:Choice Requires="x14">
        <control shapeId="10242" r:id="rId5" name="TextBox1">
          <controlPr defaultSize="0" r:id="rId6">
            <anchor moveWithCells="1">
              <from>
                <xdr:col>11</xdr:col>
                <xdr:colOff>57150</xdr:colOff>
                <xdr:row>4</xdr:row>
                <xdr:rowOff>266700</xdr:rowOff>
              </from>
              <to>
                <xdr:col>18</xdr:col>
                <xdr:colOff>447675</xdr:colOff>
                <xdr:row>6</xdr:row>
                <xdr:rowOff>168275</xdr:rowOff>
              </to>
            </anchor>
          </controlPr>
        </control>
      </mc:Choice>
      <mc:Fallback>
        <control shapeId="10242" r:id="rId5" name="Text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vt:i4>
      </vt:variant>
    </vt:vector>
  </HeadingPairs>
  <TitlesOfParts>
    <vt:vector size="3" baseType="lpstr">
      <vt:lpstr>送检单位信息</vt:lpstr>
      <vt:lpstr>砂子原始记录（新）</vt:lpstr>
      <vt:lpstr>砂子检测报告</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d25h</cp:lastModifiedBy>
  <dcterms:created xsi:type="dcterms:W3CDTF">2020-05-29T05:13:00Z</dcterms:created>
  <dcterms:modified xsi:type="dcterms:W3CDTF">2021-12-15T07:36:50Z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2052-11.1.0.11115</vt:lpwstr>
  </property>
  <property fmtid="{D5CDD505-2E9C-101B-9397-08002B2CF9AE}" pid="3" name="ICV">
    <vt:lpwstr>79E1A57A04854D5983A9F478E3ED700C</vt:lpwstr>
  </property>
</Properties>
</file>