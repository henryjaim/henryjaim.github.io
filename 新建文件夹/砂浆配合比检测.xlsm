
<file path=[Content_Types].xml><?xml version="1.0" encoding="utf-8"?>
<Types xmlns="http://schemas.openxmlformats.org/package/2006/content-types">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firstSheet="1" activeTab="5"/>
  </bookViews>
  <sheets>
    <sheet name="委托单位信息" sheetId="4" r:id="rId1"/>
    <sheet name="砂浆配合比检测" sheetId="10" r:id="rId2"/>
    <sheet name="砂浆混凝土配合比（M5) " sheetId="5" r:id="rId3"/>
    <sheet name="砂浆混凝土配合比（M7.5)" sheetId="1" r:id="rId4"/>
    <sheet name="砂浆混凝土配合比（M10)" sheetId="2" r:id="rId5"/>
    <sheet name="砂浆混凝土配合比（M15)" sheetId="6" r:id="rId6"/>
    <sheet name="砂浆混凝土配合比（M20) " sheetId="7" r:id="rId7"/>
    <sheet name="砂浆混凝土配合比（M25) " sheetId="8" r:id="rId8"/>
    <sheet name="砂浆混凝土配合比（M30) " sheetId="9" r:id="rId9"/>
  </sheets>
  <externalReferences>
    <externalReference r:id="rId10"/>
    <externalReference r:id="rId11"/>
    <externalReference r:id="rId12"/>
    <externalReference r:id="rId13"/>
    <externalReference r:id="rId14"/>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3">'砂浆混凝土配合比（M7.5)'!$A$1:$I$30</definedName>
    <definedName name="_xlnm.Print_Area" localSheetId="4">'砂浆混凝土配合比（M10)'!$A$1:$I$30</definedName>
    <definedName name="材料费" localSheetId="0">[3]子目!$O$4:$O$19</definedName>
    <definedName name="差旅费" localSheetId="0">[3]子目!$L$4:$L$19</definedName>
    <definedName name="地基基础检测" localSheetId="0">[4]辅助计算表!$N$3:$N$180</definedName>
    <definedName name="防水卷材" localSheetId="0">[4]辅助计算表!$R$3:$R$180</definedName>
    <definedName name="钢筋检测" localSheetId="0">[4]辅助计算表!$J$3:$J$180</definedName>
    <definedName name="钢筋接头检测" localSheetId="0">[4]辅助计算表!$K$3:$K$180</definedName>
    <definedName name="固定资产" localSheetId="0">[3]子目!$I$4:$I$19</definedName>
    <definedName name="管线检测" localSheetId="0">[4]辅助计算表!$Q$3:$Q$180</definedName>
    <definedName name="混凝土抗渗检测" localSheetId="0">[4]辅助计算表!$S$3:$S$180</definedName>
    <definedName name="混凝土抗压强度检测" localSheetId="0">[4]辅助计算表!$C$3:$C$180</definedName>
    <definedName name="混凝土配合比检测" localSheetId="0">[4]辅助计算表!$E$3:$E$180</definedName>
    <definedName name="检测类型" localSheetId="0">[4]辅助计算表!$C$2:$U$2</definedName>
    <definedName name="建筑节能检测" localSheetId="0">[4]辅助计算表!$P$3:$P$180</definedName>
    <definedName name="接待费" localSheetId="0">[3]子目!$M$4:$M$19</definedName>
    <definedName name="路基检测" localSheetId="0">[4]辅助计算表!$O$3:$O$180</definedName>
    <definedName name="砌体材料检测" localSheetId="0">[4]辅助计算表!$L$3:$L$181</definedName>
    <definedName name="人工费" localSheetId="0">[3]子目!$N$4:$N$19</definedName>
    <definedName name="砂浆抗压强度检测" localSheetId="0">[4]辅助计算表!$D$3:$D$180</definedName>
    <definedName name="砂浆配合比检测" localSheetId="0">[4]辅助计算表!$F$3:$F$180</definedName>
    <definedName name="砂料检测" localSheetId="0">[4]辅助计算表!$G$3:$G$180</definedName>
    <definedName name="实体检测" localSheetId="0">[4]辅助计算表!$M$3:$M$180</definedName>
    <definedName name="水泥检测" localSheetId="0">[4]辅助计算表!$I$3:$I$180</definedName>
    <definedName name="碎石检测" localSheetId="0">[4]辅助计算表!$H$3:$H$180</definedName>
    <definedName name="网费" localSheetId="0">[3]子目!$K$4:$K$19</definedName>
    <definedName name="维护费" localSheetId="0">[3]子目!$P$4:$P$19</definedName>
    <definedName name="项目类别" localSheetId="0">[3]子目!$I$3:$J$3</definedName>
    <definedName name="运营支出" localSheetId="0">[3]子目!$J$4:$J$190</definedName>
    <definedName name="_xlnm.Print_Area" localSheetId="2">'砂浆混凝土配合比（M5) '!$A$1:$I$30</definedName>
    <definedName name="_xlnm.Print_Area" localSheetId="5">'砂浆混凝土配合比（M15)'!$A$1:$I$30</definedName>
    <definedName name="_xlnm.Print_Area" localSheetId="6">'砂浆混凝土配合比（M20) '!$A$1:$I$30</definedName>
    <definedName name="_xlnm.Print_Area" localSheetId="7">'砂浆混凝土配合比（M25) '!$A$1:$I$30</definedName>
    <definedName name="_xlnm.Print_Area" localSheetId="8">'砂浆混凝土配合比（M30) '!$A$1:$I$30</definedName>
    <definedName name="材料费" localSheetId="1">[3]子目!$O$4:$O$19</definedName>
    <definedName name="差旅费" localSheetId="1">[3]子目!$L$4:$L$19</definedName>
    <definedName name="地基基础检测" localSheetId="1">[4]辅助计算表!$N$3:$N$180</definedName>
    <definedName name="防水卷材" localSheetId="1">[4]辅助计算表!$R$3:$R$180</definedName>
    <definedName name="钢筋检测" localSheetId="1">[4]辅助计算表!$J$3:$J$180</definedName>
    <definedName name="钢筋接头检测" localSheetId="1">[4]辅助计算表!$K$3:$K$180</definedName>
    <definedName name="固定资产" localSheetId="1">[3]子目!$I$4:$I$19</definedName>
    <definedName name="管线检测" localSheetId="1">[4]辅助计算表!$Q$3:$Q$180</definedName>
    <definedName name="混凝土抗渗检测" localSheetId="1">[4]辅助计算表!$S$3:$S$180</definedName>
    <definedName name="混凝土抗压强度检测" localSheetId="1">[4]辅助计算表!$C$3:$C$180</definedName>
    <definedName name="混凝土配合比检测" localSheetId="1">[4]辅助计算表!$E$3:$E$180</definedName>
    <definedName name="检测类型" localSheetId="1">[4]辅助计算表!$C$2:$U$2</definedName>
    <definedName name="建筑节能检测" localSheetId="1">[4]辅助计算表!$P$3:$P$180</definedName>
    <definedName name="接待费" localSheetId="1">[3]子目!$M$4:$M$19</definedName>
    <definedName name="路基检测" localSheetId="1">[4]辅助计算表!$O$3:$O$180</definedName>
    <definedName name="砌体材料检测" localSheetId="1">[4]辅助计算表!$L$3:$L$181</definedName>
    <definedName name="人工费" localSheetId="1">[3]子目!$N$4:$N$19</definedName>
    <definedName name="砂浆抗压强度检测" localSheetId="1">[4]辅助计算表!$D$3:$D$180</definedName>
    <definedName name="砂浆配合比检测" localSheetId="1">[4]辅助计算表!$F$3:$F$180</definedName>
    <definedName name="砂料检测" localSheetId="1">[4]辅助计算表!$G$3:$G$180</definedName>
    <definedName name="实体检测" localSheetId="1">[4]辅助计算表!$M$3:$M$180</definedName>
    <definedName name="水泥检测" localSheetId="1">[4]辅助计算表!$I$3:$I$180</definedName>
    <definedName name="碎石检测" localSheetId="1">[4]辅助计算表!$H$3:$H$180</definedName>
    <definedName name="网费" localSheetId="1">[3]子目!$K$4:$K$19</definedName>
    <definedName name="维护费" localSheetId="1">[3]子目!$P$4:$P$19</definedName>
    <definedName name="项目类别" localSheetId="1">[3]子目!$I$3:$J$3</definedName>
    <definedName name="运营支出" localSheetId="1">[3]子目!$J$4:$J$190</definedName>
  </definedNames>
  <calcPr calcId="144525"/>
</workbook>
</file>

<file path=xl/sharedStrings.xml><?xml version="1.0" encoding="utf-8"?>
<sst xmlns="http://schemas.openxmlformats.org/spreadsheetml/2006/main" count="695" uniqueCount="134">
  <si>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</si>
  <si>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</si>
  <si>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</si>
  <si>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</si>
  <si>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</si>
  <si>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</si>
  <si>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</si>
  <si>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</si>
  <si>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</si>
  <si>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</si>
  <si>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</si>
  <si>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</si>
  <si>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</si>
  <si>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</si>
  <si>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</si>
  <si>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</si>
  <si>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</si>
  <si>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</si>
  <si>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</si>
  <si>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</si>
  <si>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</si>
  <si>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</si>
  <si>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</si>
  <si>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</si>
  <si>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</si>
  <si>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</si>
  <si>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</si>
  <si>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</si>
  <si>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</si>
  <si>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</si>
  <si>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</si>
  <si>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</si>
  <si>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</si>
  <si>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</si>
  <si>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</si>
  <si>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</si>
  <si>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</si>
  <si>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混凝土配合比检测样品信息</t>
  </si>
  <si>
    <t>项目名称</t>
  </si>
  <si>
    <t>品种</t>
  </si>
  <si>
    <t>水泥</t>
  </si>
  <si>
    <t>强度等级</t>
  </si>
  <si>
    <t>细骨料</t>
  </si>
  <si>
    <t>送检日期</t>
  </si>
  <si>
    <t>检测编号</t>
  </si>
  <si>
    <t>生产厂家</t>
  </si>
  <si>
    <t>品种及强度等级</t>
  </si>
  <si>
    <t>出厂日期</t>
  </si>
  <si>
    <t>批号</t>
  </si>
  <si>
    <t>出厂日期及批号</t>
  </si>
  <si>
    <t>产地</t>
  </si>
  <si>
    <t>种类</t>
  </si>
  <si>
    <t>水泥砂浆</t>
  </si>
  <si>
    <t>32.5R</t>
  </si>
  <si>
    <t>M10</t>
  </si>
  <si>
    <t>010303-202100026</t>
  </si>
  <si>
    <t>四川恒固建设工程检测有限公司</t>
  </si>
  <si>
    <t>砂浆配合比设计检测报告</t>
  </si>
  <si>
    <t>委托单位：</t>
  </si>
  <si>
    <t>兴文中能能源有限公司</t>
  </si>
  <si>
    <t>检测编号：</t>
  </si>
  <si>
    <t>010303-202100021</t>
  </si>
  <si>
    <t>工程名称：</t>
  </si>
  <si>
    <t>四川兴文经济开发区竹产业园天然气管网工程</t>
  </si>
  <si>
    <t>工程部位：</t>
  </si>
  <si>
    <t>——</t>
  </si>
  <si>
    <t>检测类别：</t>
  </si>
  <si>
    <t>委托送样检测</t>
  </si>
  <si>
    <t>监督登记号：</t>
  </si>
  <si>
    <t>检测依据：</t>
  </si>
  <si>
    <t>JGJ/T 98-2010</t>
  </si>
  <si>
    <t>见证单位：</t>
  </si>
  <si>
    <t>见证人：</t>
  </si>
  <si>
    <t>送检日期：</t>
  </si>
  <si>
    <t>检测日期：</t>
  </si>
  <si>
    <t>报告日期：</t>
  </si>
  <si>
    <t>品种及等级</t>
  </si>
  <si>
    <t>水泥砂浆M5</t>
  </si>
  <si>
    <t>成型日期</t>
  </si>
  <si>
    <t>塌落度：</t>
  </si>
  <si>
    <r>
      <rPr>
        <sz val="10"/>
        <color theme="1"/>
        <rFont val="宋体"/>
        <charset val="134"/>
        <scheme val="minor"/>
      </rPr>
      <t>70</t>
    </r>
    <r>
      <rPr>
        <sz val="10"/>
        <color theme="1"/>
        <rFont val="宋体"/>
        <charset val="134"/>
      </rPr>
      <t>～</t>
    </r>
    <r>
      <rPr>
        <sz val="10"/>
        <color theme="1"/>
        <rFont val="宋体"/>
        <charset val="134"/>
        <scheme val="minor"/>
      </rPr>
      <t>90mm</t>
    </r>
  </si>
  <si>
    <t>配合比设计原材料</t>
  </si>
  <si>
    <t>品      种：</t>
  </si>
  <si>
    <t>M32.5</t>
  </si>
  <si>
    <t>批号：</t>
  </si>
  <si>
    <t>X321014</t>
  </si>
  <si>
    <t>出厂日期：</t>
  </si>
  <si>
    <t>产      家：</t>
  </si>
  <si>
    <t>宜宾瑞兴实业有限公司</t>
  </si>
  <si>
    <t>010601-2021000032</t>
  </si>
  <si>
    <t>机制中砂</t>
  </si>
  <si>
    <t>细度模数：</t>
  </si>
  <si>
    <t>产（地） 家：</t>
  </si>
  <si>
    <t>温水溪石粉厂</t>
  </si>
  <si>
    <t>150502-2021000008</t>
  </si>
  <si>
    <t>掺合料</t>
  </si>
  <si>
    <t>产品名称：</t>
  </si>
  <si>
    <t>推荐掺量：</t>
  </si>
  <si>
    <t>外加剂</t>
  </si>
  <si>
    <t>配合比</t>
  </si>
  <si>
    <t>材料名称</t>
  </si>
  <si>
    <t>水</t>
  </si>
  <si>
    <r>
      <rPr>
        <sz val="10"/>
        <color theme="1"/>
        <rFont val="宋体"/>
        <charset val="134"/>
        <scheme val="minor"/>
      </rPr>
      <t>每m</t>
    </r>
    <r>
      <rPr>
        <vertAlign val="superscript"/>
        <sz val="10"/>
        <color theme="1"/>
        <rFont val="宋体"/>
        <charset val="134"/>
        <scheme val="minor"/>
      </rPr>
      <t>3</t>
    </r>
    <r>
      <rPr>
        <sz val="10"/>
        <color theme="1"/>
        <rFont val="宋体"/>
        <charset val="134"/>
        <scheme val="minor"/>
      </rPr>
      <t>用量（kg)</t>
    </r>
  </si>
  <si>
    <t>—</t>
  </si>
  <si>
    <t>质量比</t>
  </si>
  <si>
    <t>1、本配合比所用砂石均为干燥基准，施工时应根据现场砂石实测含水率换算成施工配合比指导施工。严格计量，保持原材料洁净。</t>
  </si>
  <si>
    <t>1、若对报告有异议，应于收到报告之日起15日内，以书面形式向检测单位提出，逾期视为对报告无异议。
2、送样检测，仅对来样检测负责。
3、未加盖本公司检测专用检测章，报告无效。</t>
  </si>
  <si>
    <t>签发：</t>
  </si>
  <si>
    <t>审核：</t>
  </si>
  <si>
    <t>检测：</t>
  </si>
  <si>
    <t>地址：泸州市江阳区酒谷大道六段1号</t>
  </si>
  <si>
    <t>联系电话：0830-6667833</t>
  </si>
  <si>
    <t>水泥砂浆M7.5</t>
  </si>
  <si>
    <t>010303-202100035</t>
  </si>
  <si>
    <t>芦山县大川镇小河村水坝子组泥石流等7处治理工程清淤加固项目(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</si>
  <si>
    <t>见证取样检测</t>
  </si>
  <si>
    <t>水泥砂浆M10</t>
  </si>
  <si>
    <t>PSA32.5R</t>
  </si>
  <si>
    <t>C-017</t>
  </si>
  <si>
    <t>眉山峨兴水泥厂</t>
  </si>
  <si>
    <t>010601-2021000022</t>
  </si>
  <si>
    <t>芦山县大发砂石厂</t>
  </si>
  <si>
    <t>150502-2021000012</t>
  </si>
  <si>
    <t>四川绿建西宜建设工程有限公司</t>
  </si>
  <si>
    <t>兴文县共乐中心镇创新文旅融合产业园建设项目（EPC)</t>
  </si>
  <si>
    <t>兴文僰苗文化旅游有限责任公司</t>
  </si>
  <si>
    <t>李浪</t>
  </si>
  <si>
    <t>水泥砂浆M15</t>
  </si>
  <si>
    <t>3Z-0090</t>
  </si>
  <si>
    <t>010601-2021000092</t>
  </si>
  <si>
    <t>兴文县中城镇温水溪砂厂</t>
  </si>
  <si>
    <t>水泥砂浆M20</t>
  </si>
  <si>
    <t>水泥砂浆M25</t>
  </si>
  <si>
    <t>水泥砂浆M30</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</si>
</sst>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176" formatCode="yyyy/mm/dd"/>
    <numFmt numFmtId="43" formatCode="_ * #,##0.00_ ;_ * \-#,##0.00_ ;_ * &quot;-&quot;??_ ;_ @_ "/>
    <numFmt numFmtId="44" formatCode="_ &quot;￥&quot;* #,##0.00_ ;_ &quot;￥&quot;* \-#,##0.00_ ;_ &quot;￥&quot;* &quot;-&quot;??_ ;_ @_ "/>
    <numFmt numFmtId="177" formatCode="yyyy/m/d;@"/>
  </numFmts>
  <fonts count="32">
    <font>
      <sz val="11"/>
      <color theme="1"/>
      <name val="宋体"/>
      <charset val="134"/>
      <scheme val="minor"/>
    </font>
    <font>
      <sz val="9"/>
      <color theme="1"/>
      <name val="宋体"/>
      <charset val="134"/>
      <scheme val="minor"/>
    </font>
    <font>
      <sz val="8"/>
      <color theme="1"/>
      <name val="宋体"/>
      <charset val="134"/>
      <scheme val="minor"/>
    </font>
    <font>
      <sz val="16"/>
      <color theme="1"/>
      <name val="宋体"/>
      <charset val="134"/>
    </font>
    <font>
      <b/>
      <sz val="20"/>
      <color theme="1"/>
      <name val="宋体"/>
      <charset val="134"/>
    </font>
    <font>
      <sz val="10"/>
      <color theme="1"/>
      <name val="宋体"/>
      <charset val="134"/>
      <scheme val="minor"/>
    </font>
    <font>
      <sz val="10.5"/>
      <color theme="1"/>
      <name val="宋体"/>
      <charset val="134"/>
    </font>
    <font>
      <sz val="10"/>
      <color theme="1"/>
      <name val="宋体"/>
      <charset val="134"/>
    </font>
    <font>
      <b/>
      <sz val="11"/>
      <color theme="1"/>
      <name val="宋体"/>
      <charset val="134"/>
      <scheme val="minor"/>
    </font>
    <font>
      <b/>
      <sz val="14"/>
      <color theme="1"/>
      <name val="宋体"/>
      <charset val="134"/>
      <scheme val="minor"/>
    </font>
    <font>
      <b/>
      <sz val="10.5"/>
      <color theme="1"/>
      <name val="宋体"/>
      <charset val="134"/>
    </font>
    <font>
      <sz val="12"/>
      <color theme="1"/>
      <name val="宋体"/>
      <charset val="134"/>
    </font>
    <font>
      <b/>
      <sz val="18"/>
      <color theme="3"/>
      <name val="宋体"/>
      <charset val="134"/>
      <scheme val="minor"/>
    </font>
    <font>
      <sz val="11"/>
      <color theme="1"/>
      <name val="宋体"/>
      <charset val="0"/>
      <scheme val="minor"/>
    </font>
    <font>
      <b/>
      <sz val="11"/>
      <color theme="1"/>
      <name val="宋体"/>
      <charset val="0"/>
      <scheme val="minor"/>
    </font>
    <font>
      <sz val="11"/>
      <color theme="0"/>
      <name val="宋体"/>
      <charset val="0"/>
      <scheme val="minor"/>
    </font>
    <font>
      <u/>
      <sz val="11"/>
      <color rgb="FF0000FF"/>
      <name val="宋体"/>
      <charset val="0"/>
      <scheme val="minor"/>
    </font>
    <font>
      <b/>
      <sz val="11"/>
      <color rgb="FF3F3F3F"/>
      <name val="宋体"/>
      <charset val="0"/>
      <scheme val="minor"/>
    </font>
    <font>
      <b/>
      <sz val="11"/>
      <color theme="3"/>
      <name val="宋体"/>
      <charset val="134"/>
      <scheme val="minor"/>
    </font>
    <font>
      <sz val="11"/>
      <color rgb="FF3F3F76"/>
      <name val="宋体"/>
      <charset val="0"/>
      <scheme val="minor"/>
    </font>
    <font>
      <b/>
      <sz val="11"/>
      <color rgb="FFFA7D00"/>
      <name val="宋体"/>
      <charset val="0"/>
      <scheme val="minor"/>
    </font>
    <font>
      <sz val="11"/>
      <color rgb="FF9C6500"/>
      <name val="宋体"/>
      <charset val="0"/>
      <scheme val="minor"/>
    </font>
    <font>
      <b/>
      <sz val="11"/>
      <color rgb="FFFFFFFF"/>
      <name val="宋体"/>
      <charset val="0"/>
      <scheme val="minor"/>
    </font>
    <font>
      <sz val="11"/>
      <color rgb="FF9C0006"/>
      <name val="宋体"/>
      <charset val="0"/>
      <scheme val="minor"/>
    </font>
    <font>
      <u/>
      <sz val="11"/>
      <color rgb="FF800080"/>
      <name val="宋体"/>
      <charset val="0"/>
      <scheme val="minor"/>
    </font>
    <font>
      <sz val="11"/>
      <color rgb="FF006100"/>
      <name val="宋体"/>
      <charset val="0"/>
      <scheme val="minor"/>
    </font>
    <font>
      <sz val="11"/>
      <color rgb="FFFA7D00"/>
      <name val="宋体"/>
      <charset val="0"/>
      <scheme val="minor"/>
    </font>
    <font>
      <sz val="11"/>
      <color rgb="FFFF0000"/>
      <name val="宋体"/>
      <charset val="0"/>
      <scheme val="minor"/>
    </font>
    <font>
      <i/>
      <sz val="11"/>
      <color rgb="FF7F7F7F"/>
      <name val="宋体"/>
      <charset val="0"/>
      <scheme val="minor"/>
    </font>
    <font>
      <b/>
      <sz val="15"/>
      <color theme="3"/>
      <name val="宋体"/>
      <charset val="134"/>
      <scheme val="minor"/>
    </font>
    <font>
      <b/>
      <sz val="13"/>
      <color theme="3"/>
      <name val="宋体"/>
      <charset val="134"/>
      <scheme val="minor"/>
    </font>
    <font>
      <vertAlign val="superscript"/>
      <sz val="10"/>
      <color theme="1"/>
      <name val="宋体"/>
      <charset val="134"/>
      <scheme val="minor"/>
    </font>
  </fonts>
  <fills count="33">
    <fill>
      <patternFill patternType="none"/>
    </fill>
    <fill>
      <patternFill patternType="gray125"/>
    </fill>
    <fill>
      <patternFill patternType="solid">
        <fgColor theme="4" tint="0.799981688894314"/>
        <bgColor indexed="64"/>
      </patternFill>
    </fill>
    <fill>
      <patternFill patternType="solid">
        <fgColor theme="5"/>
        <bgColor indexed="64"/>
      </patternFill>
    </fill>
    <fill>
      <patternFill patternType="solid">
        <fgColor theme="6" tint="0.599993896298105"/>
        <bgColor indexed="64"/>
      </patternFill>
    </fill>
    <fill>
      <patternFill patternType="solid">
        <fgColor rgb="FFF2F2F2"/>
        <bgColor indexed="64"/>
      </patternFill>
    </fill>
    <fill>
      <patternFill patternType="solid">
        <fgColor theme="6" tint="0.799981688894314"/>
        <bgColor indexed="64"/>
      </patternFill>
    </fill>
    <fill>
      <patternFill patternType="solid">
        <fgColor rgb="FFFFCC99"/>
        <bgColor indexed="64"/>
      </patternFill>
    </fill>
    <fill>
      <patternFill patternType="solid">
        <fgColor theme="6"/>
        <bgColor indexed="64"/>
      </patternFill>
    </fill>
    <fill>
      <patternFill patternType="solid">
        <fgColor theme="4"/>
        <bgColor indexed="64"/>
      </patternFill>
    </fill>
    <fill>
      <patternFill patternType="solid">
        <fgColor rgb="FFFFEB9C"/>
        <bgColor indexed="64"/>
      </patternFill>
    </fill>
    <fill>
      <patternFill patternType="solid">
        <fgColor rgb="FFA5A5A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rgb="FFC6EFCE"/>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9"/>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7"/>
        <bgColor indexed="64"/>
      </patternFill>
    </fill>
    <fill>
      <patternFill patternType="solid">
        <fgColor theme="8"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8"/>
        <bgColor indexed="64"/>
      </patternFill>
    </fill>
  </fills>
  <borders count="2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bottom>
      <diagonal/>
    </border>
  </borders>
  <cellStyleXfs count="49">
    <xf numFmtId="0" fontId="0" fillId="0" borderId="0">
      <alignment vertical="center"/>
    </xf>
    <xf numFmtId="42" fontId="0" fillId="0" borderId="0" applyFont="0" applyFill="0" applyBorder="0" applyAlignment="0" applyProtection="0">
      <alignment vertical="center"/>
    </xf>
    <xf numFmtId="0" fontId="13" fillId="6" borderId="0" applyNumberFormat="0" applyBorder="0" applyAlignment="0" applyProtection="0">
      <alignment vertical="center"/>
    </xf>
    <xf numFmtId="0" fontId="19" fillId="7" borderId="1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3" fillId="4" borderId="0" applyNumberFormat="0" applyBorder="0" applyAlignment="0" applyProtection="0">
      <alignment vertical="center"/>
    </xf>
    <xf numFmtId="0" fontId="23" fillId="12" borderId="0" applyNumberFormat="0" applyBorder="0" applyAlignment="0" applyProtection="0">
      <alignment vertical="center"/>
    </xf>
    <xf numFmtId="43" fontId="0" fillId="0" borderId="0" applyFont="0" applyFill="0" applyBorder="0" applyAlignment="0" applyProtection="0">
      <alignment vertical="center"/>
    </xf>
    <xf numFmtId="0" fontId="15" fillId="13" borderId="0" applyNumberFormat="0" applyBorder="0" applyAlignment="0" applyProtection="0">
      <alignment vertical="center"/>
    </xf>
    <xf numFmtId="0" fontId="16" fillId="0" borderId="0" applyNumberFormat="0" applyFill="0" applyBorder="0" applyAlignment="0" applyProtection="0">
      <alignment vertical="center"/>
    </xf>
    <xf numFmtId="9" fontId="0" fillId="0" borderId="0" applyFont="0" applyFill="0" applyBorder="0" applyAlignment="0" applyProtection="0">
      <alignment vertical="center"/>
    </xf>
    <xf numFmtId="0" fontId="24" fillId="0" borderId="0" applyNumberFormat="0" applyFill="0" applyBorder="0" applyAlignment="0" applyProtection="0">
      <alignment vertical="center"/>
    </xf>
    <xf numFmtId="0" fontId="0" fillId="14" borderId="17" applyNumberFormat="0" applyFont="0" applyAlignment="0" applyProtection="0">
      <alignment vertical="center"/>
    </xf>
    <xf numFmtId="0" fontId="15" fillId="17" borderId="0" applyNumberFormat="0" applyBorder="0" applyAlignment="0" applyProtection="0">
      <alignment vertical="center"/>
    </xf>
    <xf numFmtId="0" fontId="18"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9" applyNumberFormat="0" applyFill="0" applyAlignment="0" applyProtection="0">
      <alignment vertical="center"/>
    </xf>
    <xf numFmtId="0" fontId="30" fillId="0" borderId="19" applyNumberFormat="0" applyFill="0" applyAlignment="0" applyProtection="0">
      <alignment vertical="center"/>
    </xf>
    <xf numFmtId="0" fontId="15" fillId="16" borderId="0" applyNumberFormat="0" applyBorder="0" applyAlignment="0" applyProtection="0">
      <alignment vertical="center"/>
    </xf>
    <xf numFmtId="0" fontId="18" fillId="0" borderId="14" applyNumberFormat="0" applyFill="0" applyAlignment="0" applyProtection="0">
      <alignment vertical="center"/>
    </xf>
    <xf numFmtId="0" fontId="15" fillId="23" borderId="0" applyNumberFormat="0" applyBorder="0" applyAlignment="0" applyProtection="0">
      <alignment vertical="center"/>
    </xf>
    <xf numFmtId="0" fontId="17" fillId="5" borderId="13" applyNumberFormat="0" applyAlignment="0" applyProtection="0">
      <alignment vertical="center"/>
    </xf>
    <xf numFmtId="0" fontId="20" fillId="5" borderId="15" applyNumberFormat="0" applyAlignment="0" applyProtection="0">
      <alignment vertical="center"/>
    </xf>
    <xf numFmtId="0" fontId="22" fillId="11" borderId="16" applyNumberFormat="0" applyAlignment="0" applyProtection="0">
      <alignment vertical="center"/>
    </xf>
    <xf numFmtId="0" fontId="13" fillId="24" borderId="0" applyNumberFormat="0" applyBorder="0" applyAlignment="0" applyProtection="0">
      <alignment vertical="center"/>
    </xf>
    <xf numFmtId="0" fontId="15" fillId="3" borderId="0" applyNumberFormat="0" applyBorder="0" applyAlignment="0" applyProtection="0">
      <alignment vertical="center"/>
    </xf>
    <xf numFmtId="0" fontId="26" fillId="0" borderId="18" applyNumberFormat="0" applyFill="0" applyAlignment="0" applyProtection="0">
      <alignment vertical="center"/>
    </xf>
    <xf numFmtId="0" fontId="14" fillId="0" borderId="12" applyNumberFormat="0" applyFill="0" applyAlignment="0" applyProtection="0">
      <alignment vertical="center"/>
    </xf>
    <xf numFmtId="0" fontId="25" fillId="15" borderId="0" applyNumberFormat="0" applyBorder="0" applyAlignment="0" applyProtection="0">
      <alignment vertical="center"/>
    </xf>
    <xf numFmtId="0" fontId="21" fillId="10" borderId="0" applyNumberFormat="0" applyBorder="0" applyAlignment="0" applyProtection="0">
      <alignment vertical="center"/>
    </xf>
    <xf numFmtId="0" fontId="13" fillId="27" borderId="0" applyNumberFormat="0" applyBorder="0" applyAlignment="0" applyProtection="0">
      <alignment vertical="center"/>
    </xf>
    <xf numFmtId="0" fontId="15" fillId="9" borderId="0" applyNumberFormat="0" applyBorder="0" applyAlignment="0" applyProtection="0">
      <alignment vertical="center"/>
    </xf>
    <xf numFmtId="0" fontId="13" fillId="2" borderId="0" applyNumberFormat="0" applyBorder="0" applyAlignment="0" applyProtection="0">
      <alignment vertical="center"/>
    </xf>
    <xf numFmtId="0" fontId="13" fillId="28" borderId="0" applyNumberFormat="0" applyBorder="0" applyAlignment="0" applyProtection="0">
      <alignment vertical="center"/>
    </xf>
    <xf numFmtId="0" fontId="13" fillId="29" borderId="0" applyNumberFormat="0" applyBorder="0" applyAlignment="0" applyProtection="0">
      <alignment vertical="center"/>
    </xf>
    <xf numFmtId="0" fontId="13" fillId="20" borderId="0" applyNumberFormat="0" applyBorder="0" applyAlignment="0" applyProtection="0">
      <alignment vertical="center"/>
    </xf>
    <xf numFmtId="0" fontId="15" fillId="8" borderId="0" applyNumberFormat="0" applyBorder="0" applyAlignment="0" applyProtection="0">
      <alignment vertical="center"/>
    </xf>
    <xf numFmtId="0" fontId="15" fillId="26" borderId="0" applyNumberFormat="0" applyBorder="0" applyAlignment="0" applyProtection="0">
      <alignment vertical="center"/>
    </xf>
    <xf numFmtId="0" fontId="13" fillId="22" borderId="0" applyNumberFormat="0" applyBorder="0" applyAlignment="0" applyProtection="0">
      <alignment vertical="center"/>
    </xf>
    <xf numFmtId="0" fontId="13" fillId="30" borderId="0" applyNumberFormat="0" applyBorder="0" applyAlignment="0" applyProtection="0">
      <alignment vertical="center"/>
    </xf>
    <xf numFmtId="0" fontId="15" fillId="32" borderId="0" applyNumberFormat="0" applyBorder="0" applyAlignment="0" applyProtection="0">
      <alignment vertical="center"/>
    </xf>
    <xf numFmtId="0" fontId="13" fillId="31" borderId="0" applyNumberFormat="0" applyBorder="0" applyAlignment="0" applyProtection="0">
      <alignment vertical="center"/>
    </xf>
    <xf numFmtId="0" fontId="15" fillId="25" borderId="0" applyNumberFormat="0" applyBorder="0" applyAlignment="0" applyProtection="0">
      <alignment vertical="center"/>
    </xf>
    <xf numFmtId="0" fontId="15" fillId="21" borderId="0" applyNumberFormat="0" applyBorder="0" applyAlignment="0" applyProtection="0">
      <alignment vertical="center"/>
    </xf>
    <xf numFmtId="0" fontId="13" fillId="19" borderId="0" applyNumberFormat="0" applyBorder="0" applyAlignment="0" applyProtection="0">
      <alignment vertical="center"/>
    </xf>
    <xf numFmtId="0" fontId="15" fillId="18" borderId="0" applyNumberFormat="0" applyBorder="0" applyAlignment="0" applyProtection="0">
      <alignment vertical="center"/>
    </xf>
  </cellStyleXfs>
  <cellXfs count="74">
    <xf numFmtId="0" fontId="0" fillId="0" borderId="0" xfId="0">
      <alignment vertical="center"/>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applyBorder="1" applyAlignment="1">
      <alignment horizontal="center" vertical="center" wrapText="1"/>
    </xf>
    <xf numFmtId="0" fontId="1" fillId="0" borderId="0" xfId="0" applyFont="1" applyFill="1" applyAlignment="1">
      <alignment horizontal="center" vertical="center"/>
    </xf>
    <xf numFmtId="0" fontId="1" fillId="0" borderId="0" xfId="0" applyFont="1" applyFill="1" applyAlignment="1">
      <alignment horizontal="right" vertical="center"/>
    </xf>
    <xf numFmtId="0" fontId="2" fillId="0" borderId="0" xfId="0" applyFont="1" applyFill="1" applyAlignment="1">
      <alignment horizontal="left" vertical="center"/>
    </xf>
    <xf numFmtId="0" fontId="0" fillId="0" borderId="0" xfId="0" applyFill="1" applyBorder="1" applyAlignment="1">
      <alignment horizontal="center" vertical="center"/>
    </xf>
    <xf numFmtId="0" fontId="1" fillId="0" borderId="0" xfId="0" applyFont="1" applyFill="1" applyBorder="1" applyAlignment="1">
      <alignment horizontal="right" vertical="center"/>
    </xf>
    <xf numFmtId="0" fontId="1" fillId="0" borderId="0" xfId="0" applyFont="1" applyFill="1" applyBorder="1" applyAlignment="1">
      <alignment horizontal="left" vertical="center"/>
    </xf>
    <xf numFmtId="0" fontId="1" fillId="0" borderId="0" xfId="0" applyFont="1" applyFill="1" applyAlignment="1">
      <alignment horizontal="left" vertical="center"/>
    </xf>
    <xf numFmtId="0" fontId="3" fillId="0" borderId="0" xfId="0" applyFont="1" applyFill="1" applyAlignment="1">
      <alignment horizontal="center" vertical="center" wrapText="1"/>
    </xf>
    <xf numFmtId="0" fontId="3" fillId="0" borderId="0" xfId="0" applyFont="1" applyFill="1" applyAlignment="1">
      <alignment horizontal="center" vertical="center"/>
    </xf>
    <xf numFmtId="0" fontId="4" fillId="0" borderId="0" xfId="0" applyFont="1" applyFill="1" applyAlignment="1">
      <alignment horizontal="center" vertical="center" wrapText="1"/>
    </xf>
    <xf numFmtId="0" fontId="4" fillId="0" borderId="0" xfId="0" applyFont="1" applyFill="1" applyAlignment="1">
      <alignment horizontal="center" vertical="center"/>
    </xf>
    <xf numFmtId="0" fontId="5" fillId="0" borderId="0" xfId="0" applyFont="1" applyFill="1" applyAlignment="1">
      <alignment horizontal="center" wrapText="1"/>
    </xf>
    <xf numFmtId="0" fontId="5" fillId="0" borderId="1" xfId="0" applyFont="1" applyFill="1" applyBorder="1" applyAlignment="1">
      <alignment horizontal="left"/>
    </xf>
    <xf numFmtId="0" fontId="5" fillId="0" borderId="0" xfId="0" applyFont="1" applyFill="1" applyAlignment="1">
      <alignment horizontal="center"/>
    </xf>
    <xf numFmtId="176" fontId="5" fillId="0" borderId="1" xfId="0" applyNumberFormat="1" applyFont="1" applyFill="1" applyBorder="1" applyAlignment="1">
      <alignment horizontal="left"/>
    </xf>
    <xf numFmtId="0" fontId="5" fillId="0" borderId="0" xfId="0" applyFont="1" applyFill="1" applyAlignment="1">
      <alignment horizontal="center" vertical="center" wrapText="1"/>
    </xf>
    <xf numFmtId="176"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5" fillId="0" borderId="2" xfId="0" applyFont="1" applyFill="1" applyBorder="1" applyAlignment="1">
      <alignment horizontal="center" vertical="center" wrapText="1"/>
    </xf>
    <xf numFmtId="0" fontId="5" fillId="0" borderId="2" xfId="0" applyFont="1" applyFill="1" applyBorder="1" applyAlignment="1">
      <alignment horizontal="center" vertical="center"/>
    </xf>
    <xf numFmtId="176" fontId="5" fillId="0" borderId="2" xfId="0" applyNumberFormat="1" applyFont="1" applyFill="1" applyBorder="1" applyAlignment="1">
      <alignment horizontal="center" vertical="center"/>
    </xf>
    <xf numFmtId="0" fontId="5" fillId="0" borderId="3" xfId="0" applyFont="1" applyFill="1"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5" fillId="0" borderId="4" xfId="0" applyFont="1" applyFill="1" applyBorder="1" applyAlignment="1">
      <alignment horizontal="right" vertical="center"/>
    </xf>
    <xf numFmtId="0" fontId="6" fillId="0" borderId="0" xfId="0" applyFont="1" applyFill="1" applyBorder="1" applyAlignment="1">
      <alignment horizontal="center" vertical="center" wrapText="1"/>
    </xf>
    <xf numFmtId="0" fontId="5" fillId="0" borderId="5"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7" fillId="0" borderId="4" xfId="0" applyFont="1" applyBorder="1" applyAlignment="1">
      <alignment horizontal="center" vertical="center"/>
    </xf>
    <xf numFmtId="0" fontId="5" fillId="0" borderId="6" xfId="0" applyFont="1" applyFill="1" applyBorder="1" applyAlignment="1">
      <alignment horizontal="center" vertical="center"/>
    </xf>
    <xf numFmtId="0" fontId="5" fillId="0" borderId="7" xfId="0" applyFont="1" applyFill="1" applyBorder="1" applyAlignment="1">
      <alignment horizontal="center" vertical="center"/>
    </xf>
    <xf numFmtId="0" fontId="5" fillId="0" borderId="6"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5" fillId="0" borderId="6" xfId="0" applyFont="1" applyFill="1" applyBorder="1" applyAlignment="1">
      <alignment horizontal="left" vertical="center" wrapText="1"/>
    </xf>
    <xf numFmtId="0" fontId="5" fillId="0" borderId="7" xfId="0" applyFont="1" applyFill="1" applyBorder="1" applyAlignment="1">
      <alignment horizontal="left" vertical="center" wrapText="1"/>
    </xf>
    <xf numFmtId="0" fontId="5" fillId="0" borderId="0" xfId="0" applyFont="1" applyFill="1" applyAlignment="1">
      <alignment horizontal="left" vertical="center" wrapText="1"/>
    </xf>
    <xf numFmtId="0" fontId="5" fillId="0" borderId="0" xfId="0" applyFont="1" applyFill="1" applyAlignment="1">
      <alignment horizontal="right" vertical="center" wrapText="1"/>
    </xf>
    <xf numFmtId="0" fontId="1" fillId="0" borderId="0" xfId="0" applyFont="1" applyAlignment="1">
      <alignment horizontal="center" vertical="center"/>
    </xf>
    <xf numFmtId="0" fontId="1" fillId="0" borderId="0" xfId="0" applyFont="1" applyAlignment="1">
      <alignment vertical="center"/>
    </xf>
    <xf numFmtId="14" fontId="5" fillId="0" borderId="8" xfId="0" applyNumberFormat="1" applyFont="1" applyFill="1" applyBorder="1" applyAlignment="1">
      <alignment horizontal="center" vertical="center"/>
    </xf>
    <xf numFmtId="0" fontId="5" fillId="0" borderId="9" xfId="0" applyFont="1" applyBorder="1" applyAlignment="1">
      <alignment horizontal="center" vertical="center"/>
    </xf>
    <xf numFmtId="0" fontId="5" fillId="0" borderId="8" xfId="0" applyFont="1" applyFill="1" applyBorder="1" applyAlignment="1">
      <alignment horizontal="left" vertical="center"/>
    </xf>
    <xf numFmtId="14" fontId="5" fillId="0" borderId="10" xfId="0" applyNumberFormat="1" applyFont="1" applyFill="1" applyBorder="1" applyAlignment="1">
      <alignment vertical="center"/>
    </xf>
    <xf numFmtId="0" fontId="5" fillId="0" borderId="10" xfId="0" applyFont="1" applyFill="1" applyBorder="1" applyAlignment="1">
      <alignment horizontal="left" vertical="center"/>
    </xf>
    <xf numFmtId="0" fontId="5" fillId="0" borderId="11" xfId="0" applyFont="1" applyFill="1" applyBorder="1" applyAlignment="1">
      <alignment horizontal="left" vertical="center" wrapText="1"/>
    </xf>
    <xf numFmtId="0" fontId="5" fillId="0" borderId="1" xfId="0" applyFont="1" applyFill="1" applyBorder="1" applyAlignment="1">
      <alignment horizontal="left" wrapText="1"/>
    </xf>
    <xf numFmtId="0" fontId="0" fillId="0" borderId="4" xfId="0" applyBorder="1" applyAlignment="1">
      <alignment horizontal="center" vertical="center"/>
    </xf>
    <xf numFmtId="0" fontId="6" fillId="0" borderId="4" xfId="0" applyFont="1" applyFill="1" applyBorder="1" applyAlignment="1">
      <alignment horizontal="center" vertical="center" wrapText="1"/>
    </xf>
    <xf numFmtId="0" fontId="8" fillId="0" borderId="0" xfId="0" applyFont="1">
      <alignment vertical="center"/>
    </xf>
    <xf numFmtId="0" fontId="9" fillId="0" borderId="0" xfId="0" applyFont="1" applyAlignment="1">
      <alignment horizontal="center" vertical="center"/>
    </xf>
    <xf numFmtId="0" fontId="8" fillId="0" borderId="0" xfId="0" applyFont="1" applyAlignment="1">
      <alignment horizontal="center" vertical="center"/>
    </xf>
    <xf numFmtId="0" fontId="8" fillId="0" borderId="0" xfId="0" applyFont="1" applyAlignment="1">
      <alignment horizontal="center" vertical="center" wrapText="1"/>
    </xf>
    <xf numFmtId="0" fontId="10" fillId="0" borderId="0" xfId="0" applyFont="1" applyAlignment="1">
      <alignment horizontal="center" vertical="center"/>
    </xf>
    <xf numFmtId="0" fontId="10" fillId="0" borderId="0" xfId="0" applyFont="1" applyAlignment="1">
      <alignment horizontal="center" vertical="center" wrapText="1"/>
    </xf>
    <xf numFmtId="0" fontId="0" fillId="0" borderId="0" xfId="0" applyAlignment="1">
      <alignment horizontal="center" vertical="center" wrapText="1"/>
    </xf>
    <xf numFmtId="0" fontId="0" fillId="0" borderId="0" xfId="0" applyFont="1" applyAlignment="1">
      <alignment horizontal="center" vertical="center" wrapText="1"/>
    </xf>
    <xf numFmtId="0" fontId="0" fillId="0" borderId="0" xfId="0" applyBorder="1" applyAlignment="1">
      <alignment horizontal="center" vertical="center"/>
    </xf>
    <xf numFmtId="0" fontId="0" fillId="0" borderId="0" xfId="0" applyAlignment="1">
      <alignment horizontal="center" vertical="center"/>
    </xf>
    <xf numFmtId="177" fontId="0" fillId="0" borderId="0" xfId="0" applyNumberFormat="1" applyAlignment="1">
      <alignment horizontal="center" vertical="center"/>
    </xf>
    <xf numFmtId="0" fontId="8" fillId="0" borderId="0" xfId="0" applyNumberFormat="1" applyFont="1" applyAlignment="1">
      <alignment horizontal="center" vertical="center"/>
    </xf>
    <xf numFmtId="0" fontId="10" fillId="0" borderId="0" xfId="0" applyNumberFormat="1" applyFont="1" applyAlignment="1">
      <alignment horizontal="center" vertical="center"/>
    </xf>
    <xf numFmtId="0" fontId="8" fillId="0" borderId="0" xfId="0" applyFont="1" applyBorder="1" applyAlignment="1">
      <alignment horizontal="center" vertical="center"/>
    </xf>
    <xf numFmtId="177" fontId="0" fillId="0" borderId="0" xfId="0" applyNumberFormat="1" applyAlignment="1">
      <alignment horizontal="center" vertical="center" wrapText="1"/>
    </xf>
    <xf numFmtId="0" fontId="0" fillId="0" borderId="0" xfId="0" applyNumberFormat="1" applyAlignment="1">
      <alignment horizontal="center" vertical="center"/>
    </xf>
    <xf numFmtId="14" fontId="0" fillId="0" borderId="0" xfId="0" applyNumberFormat="1" applyAlignment="1">
      <alignment horizontal="center" vertical="center"/>
    </xf>
    <xf numFmtId="0" fontId="11" fillId="0" borderId="0" xfId="0" applyFont="1" applyAlignment="1">
      <alignment horizontal="center" vertical="center" wrapText="1"/>
    </xf>
    <xf numFmtId="0" fontId="11" fillId="0" borderId="0" xfId="0" applyFont="1" applyAlignment="1">
      <alignment horizontal="center" vertical="center"/>
    </xf>
    <xf numFmtId="0" fontId="6"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openxmlformats.org/officeDocument/2006/relationships/sharedStrings" Target="sharedStrings.xml"/><Relationship Id="rId16" Type="http://schemas.openxmlformats.org/officeDocument/2006/relationships/styles" Target="styles.xml"/><Relationship Id="rId15" Type="http://schemas.openxmlformats.org/officeDocument/2006/relationships/theme" Target="theme/theme1.xml"/><Relationship Id="rId14" Type="http://schemas.openxmlformats.org/officeDocument/2006/relationships/externalLink" Target="externalLinks/externalLink5.xml"/><Relationship Id="rId13" Type="http://schemas.openxmlformats.org/officeDocument/2006/relationships/externalLink" Target="externalLinks/externalLink4.xml"/><Relationship Id="rId12" Type="http://schemas.openxmlformats.org/officeDocument/2006/relationships/externalLink" Target="externalLinks/externalLink3.xml"/><Relationship Id="rId11" Type="http://schemas.openxmlformats.org/officeDocument/2006/relationships/externalLink" Target="externalLinks/externalLink2.xml"/><Relationship Id="rId10" Type="http://schemas.openxmlformats.org/officeDocument/2006/relationships/externalLink" Target="externalLinks/externalLink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80645</xdr:colOff>
      <xdr:row>28</xdr:row>
      <xdr:rowOff>118745</xdr:rowOff>
    </xdr:from>
    <xdr:to>
      <xdr:col>2</xdr:col>
      <xdr:colOff>71120</xdr:colOff>
      <xdr:row>28</xdr:row>
      <xdr:rowOff>546100</xdr:rowOff>
    </xdr:to>
    <xdr:pic>
      <xdr:nvPicPr>
        <xdr:cNvPr id="2" name="图片 1" descr="熊茂"/>
        <xdr:cNvPicPr>
          <a:picLocks noChangeAspect="1"/>
        </xdr:cNvPicPr>
      </xdr:nvPicPr>
      <xdr:blipFill>
        <a:blip r:embed="rId1"/>
        <a:stretch>
          <a:fillRect/>
        </a:stretch>
      </xdr:blipFill>
      <xdr:spPr>
        <a:xfrm>
          <a:off x="652145" y="8386445"/>
          <a:ext cx="695325" cy="427355"/>
        </a:xfrm>
        <a:prstGeom prst="rect">
          <a:avLst/>
        </a:prstGeom>
      </xdr:spPr>
    </xdr:pic>
    <xdr:clientData/>
  </xdr:twoCellAnchor>
  <xdr:twoCellAnchor editAs="oneCell">
    <xdr:from>
      <xdr:col>7</xdr:col>
      <xdr:colOff>391160</xdr:colOff>
      <xdr:row>28</xdr:row>
      <xdr:rowOff>114300</xdr:rowOff>
    </xdr:from>
    <xdr:to>
      <xdr:col>8</xdr:col>
      <xdr:colOff>1045845</xdr:colOff>
      <xdr:row>28</xdr:row>
      <xdr:rowOff>642620</xdr:rowOff>
    </xdr:to>
    <xdr:pic>
      <xdr:nvPicPr>
        <xdr:cNvPr id="3" name="图片 2" descr="李炳强"/>
        <xdr:cNvPicPr>
          <a:picLocks noChangeAspect="1"/>
        </xdr:cNvPicPr>
      </xdr:nvPicPr>
      <xdr:blipFill>
        <a:blip r:embed="rId2"/>
        <a:stretch>
          <a:fillRect/>
        </a:stretch>
      </xdr:blipFill>
      <xdr:spPr>
        <a:xfrm>
          <a:off x="4934585" y="8382000"/>
          <a:ext cx="1445260" cy="528320"/>
        </a:xfrm>
        <a:prstGeom prst="rect">
          <a:avLst/>
        </a:prstGeom>
      </xdr:spPr>
    </xdr:pic>
    <xdr:clientData/>
  </xdr:twoCellAnchor>
  <xdr:twoCellAnchor editAs="oneCell">
    <xdr:from>
      <xdr:col>4</xdr:col>
      <xdr:colOff>714375</xdr:colOff>
      <xdr:row>28</xdr:row>
      <xdr:rowOff>161925</xdr:rowOff>
    </xdr:from>
    <xdr:to>
      <xdr:col>6</xdr:col>
      <xdr:colOff>79375</xdr:colOff>
      <xdr:row>28</xdr:row>
      <xdr:rowOff>650240</xdr:rowOff>
    </xdr:to>
    <xdr:pic>
      <xdr:nvPicPr>
        <xdr:cNvPr id="4" name="图片 3" descr="邓志华"/>
        <xdr:cNvPicPr>
          <a:picLocks noChangeAspect="1"/>
        </xdr:cNvPicPr>
      </xdr:nvPicPr>
      <xdr:blipFill>
        <a:blip r:embed="rId3"/>
        <a:stretch>
          <a:fillRect/>
        </a:stretch>
      </xdr:blipFill>
      <xdr:spPr>
        <a:xfrm>
          <a:off x="2981325" y="8429625"/>
          <a:ext cx="850900" cy="48831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80645</xdr:colOff>
      <xdr:row>28</xdr:row>
      <xdr:rowOff>118745</xdr:rowOff>
    </xdr:from>
    <xdr:to>
      <xdr:col>2</xdr:col>
      <xdr:colOff>71755</xdr:colOff>
      <xdr:row>28</xdr:row>
      <xdr:rowOff>546735</xdr:rowOff>
    </xdr:to>
    <xdr:pic>
      <xdr:nvPicPr>
        <xdr:cNvPr id="2" name="图片 1" descr="熊茂"/>
        <xdr:cNvPicPr>
          <a:picLocks noChangeAspect="1"/>
        </xdr:cNvPicPr>
      </xdr:nvPicPr>
      <xdr:blipFill>
        <a:blip r:embed="rId1"/>
        <a:stretch>
          <a:fillRect/>
        </a:stretch>
      </xdr:blipFill>
      <xdr:spPr>
        <a:xfrm>
          <a:off x="652145" y="8386445"/>
          <a:ext cx="695960" cy="427990"/>
        </a:xfrm>
        <a:prstGeom prst="rect">
          <a:avLst/>
        </a:prstGeom>
      </xdr:spPr>
    </xdr:pic>
    <xdr:clientData/>
  </xdr:twoCellAnchor>
  <xdr:twoCellAnchor editAs="oneCell">
    <xdr:from>
      <xdr:col>7</xdr:col>
      <xdr:colOff>391160</xdr:colOff>
      <xdr:row>28</xdr:row>
      <xdr:rowOff>114300</xdr:rowOff>
    </xdr:from>
    <xdr:to>
      <xdr:col>8</xdr:col>
      <xdr:colOff>1046480</xdr:colOff>
      <xdr:row>28</xdr:row>
      <xdr:rowOff>643255</xdr:rowOff>
    </xdr:to>
    <xdr:pic>
      <xdr:nvPicPr>
        <xdr:cNvPr id="3" name="图片 2" descr="李炳强"/>
        <xdr:cNvPicPr>
          <a:picLocks noChangeAspect="1"/>
        </xdr:cNvPicPr>
      </xdr:nvPicPr>
      <xdr:blipFill>
        <a:blip r:embed="rId2"/>
        <a:stretch>
          <a:fillRect/>
        </a:stretch>
      </xdr:blipFill>
      <xdr:spPr>
        <a:xfrm>
          <a:off x="4934585" y="8382000"/>
          <a:ext cx="1445895" cy="528955"/>
        </a:xfrm>
        <a:prstGeom prst="rect">
          <a:avLst/>
        </a:prstGeom>
      </xdr:spPr>
    </xdr:pic>
    <xdr:clientData/>
  </xdr:twoCellAnchor>
  <xdr:twoCellAnchor editAs="oneCell">
    <xdr:from>
      <xdr:col>4</xdr:col>
      <xdr:colOff>714375</xdr:colOff>
      <xdr:row>28</xdr:row>
      <xdr:rowOff>161925</xdr:rowOff>
    </xdr:from>
    <xdr:to>
      <xdr:col>6</xdr:col>
      <xdr:colOff>80010</xdr:colOff>
      <xdr:row>28</xdr:row>
      <xdr:rowOff>650875</xdr:rowOff>
    </xdr:to>
    <xdr:pic>
      <xdr:nvPicPr>
        <xdr:cNvPr id="4" name="图片 3" descr="邓志华"/>
        <xdr:cNvPicPr>
          <a:picLocks noChangeAspect="1"/>
        </xdr:cNvPicPr>
      </xdr:nvPicPr>
      <xdr:blipFill>
        <a:blip r:embed="rId3"/>
        <a:stretch>
          <a:fillRect/>
        </a:stretch>
      </xdr:blipFill>
      <xdr:spPr>
        <a:xfrm>
          <a:off x="2981325" y="8429625"/>
          <a:ext cx="851535" cy="488950"/>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80645</xdr:colOff>
      <xdr:row>28</xdr:row>
      <xdr:rowOff>118745</xdr:rowOff>
    </xdr:from>
    <xdr:to>
      <xdr:col>2</xdr:col>
      <xdr:colOff>71120</xdr:colOff>
      <xdr:row>28</xdr:row>
      <xdr:rowOff>546100</xdr:rowOff>
    </xdr:to>
    <xdr:pic>
      <xdr:nvPicPr>
        <xdr:cNvPr id="2" name="图片 1" descr="熊茂"/>
        <xdr:cNvPicPr>
          <a:picLocks noChangeAspect="1"/>
        </xdr:cNvPicPr>
      </xdr:nvPicPr>
      <xdr:blipFill>
        <a:blip r:embed="rId1"/>
        <a:stretch>
          <a:fillRect/>
        </a:stretch>
      </xdr:blipFill>
      <xdr:spPr>
        <a:xfrm>
          <a:off x="652145" y="8691245"/>
          <a:ext cx="695325" cy="427355"/>
        </a:xfrm>
        <a:prstGeom prst="rect">
          <a:avLst/>
        </a:prstGeom>
      </xdr:spPr>
    </xdr:pic>
    <xdr:clientData/>
  </xdr:twoCellAnchor>
  <xdr:twoCellAnchor editAs="oneCell">
    <xdr:from>
      <xdr:col>7</xdr:col>
      <xdr:colOff>391160</xdr:colOff>
      <xdr:row>28</xdr:row>
      <xdr:rowOff>114300</xdr:rowOff>
    </xdr:from>
    <xdr:to>
      <xdr:col>8</xdr:col>
      <xdr:colOff>1045845</xdr:colOff>
      <xdr:row>28</xdr:row>
      <xdr:rowOff>642620</xdr:rowOff>
    </xdr:to>
    <xdr:pic>
      <xdr:nvPicPr>
        <xdr:cNvPr id="3" name="图片 2" descr="李炳强"/>
        <xdr:cNvPicPr>
          <a:picLocks noChangeAspect="1"/>
        </xdr:cNvPicPr>
      </xdr:nvPicPr>
      <xdr:blipFill>
        <a:blip r:embed="rId2"/>
        <a:stretch>
          <a:fillRect/>
        </a:stretch>
      </xdr:blipFill>
      <xdr:spPr>
        <a:xfrm>
          <a:off x="4934585" y="8686800"/>
          <a:ext cx="1445260" cy="528320"/>
        </a:xfrm>
        <a:prstGeom prst="rect">
          <a:avLst/>
        </a:prstGeom>
      </xdr:spPr>
    </xdr:pic>
    <xdr:clientData/>
  </xdr:twoCellAnchor>
  <xdr:twoCellAnchor editAs="oneCell">
    <xdr:from>
      <xdr:col>4</xdr:col>
      <xdr:colOff>714375</xdr:colOff>
      <xdr:row>28</xdr:row>
      <xdr:rowOff>161925</xdr:rowOff>
    </xdr:from>
    <xdr:to>
      <xdr:col>6</xdr:col>
      <xdr:colOff>79375</xdr:colOff>
      <xdr:row>28</xdr:row>
      <xdr:rowOff>650240</xdr:rowOff>
    </xdr:to>
    <xdr:pic>
      <xdr:nvPicPr>
        <xdr:cNvPr id="4" name="图片 3" descr="邓志华"/>
        <xdr:cNvPicPr>
          <a:picLocks noChangeAspect="1"/>
        </xdr:cNvPicPr>
      </xdr:nvPicPr>
      <xdr:blipFill>
        <a:blip r:embed="rId3"/>
        <a:stretch>
          <a:fillRect/>
        </a:stretch>
      </xdr:blipFill>
      <xdr:spPr>
        <a:xfrm>
          <a:off x="2981325" y="8734425"/>
          <a:ext cx="850900" cy="488315"/>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80645</xdr:colOff>
      <xdr:row>28</xdr:row>
      <xdr:rowOff>118745</xdr:rowOff>
    </xdr:from>
    <xdr:to>
      <xdr:col>2</xdr:col>
      <xdr:colOff>70485</xdr:colOff>
      <xdr:row>28</xdr:row>
      <xdr:rowOff>545465</xdr:rowOff>
    </xdr:to>
    <xdr:pic>
      <xdr:nvPicPr>
        <xdr:cNvPr id="2" name="图片 1" descr="熊茂"/>
        <xdr:cNvPicPr>
          <a:picLocks noChangeAspect="1"/>
        </xdr:cNvPicPr>
      </xdr:nvPicPr>
      <xdr:blipFill>
        <a:blip r:embed="rId1"/>
        <a:stretch>
          <a:fillRect/>
        </a:stretch>
      </xdr:blipFill>
      <xdr:spPr>
        <a:xfrm>
          <a:off x="652145" y="8386445"/>
          <a:ext cx="694690" cy="426720"/>
        </a:xfrm>
        <a:prstGeom prst="rect">
          <a:avLst/>
        </a:prstGeom>
      </xdr:spPr>
    </xdr:pic>
    <xdr:clientData/>
  </xdr:twoCellAnchor>
  <xdr:twoCellAnchor editAs="oneCell">
    <xdr:from>
      <xdr:col>7</xdr:col>
      <xdr:colOff>391160</xdr:colOff>
      <xdr:row>28</xdr:row>
      <xdr:rowOff>114300</xdr:rowOff>
    </xdr:from>
    <xdr:to>
      <xdr:col>8</xdr:col>
      <xdr:colOff>1045210</xdr:colOff>
      <xdr:row>28</xdr:row>
      <xdr:rowOff>641985</xdr:rowOff>
    </xdr:to>
    <xdr:pic>
      <xdr:nvPicPr>
        <xdr:cNvPr id="3" name="图片 2" descr="李炳强"/>
        <xdr:cNvPicPr>
          <a:picLocks noChangeAspect="1"/>
        </xdr:cNvPicPr>
      </xdr:nvPicPr>
      <xdr:blipFill>
        <a:blip r:embed="rId2"/>
        <a:stretch>
          <a:fillRect/>
        </a:stretch>
      </xdr:blipFill>
      <xdr:spPr>
        <a:xfrm>
          <a:off x="4934585" y="8382000"/>
          <a:ext cx="1444625" cy="527685"/>
        </a:xfrm>
        <a:prstGeom prst="rect">
          <a:avLst/>
        </a:prstGeom>
      </xdr:spPr>
    </xdr:pic>
    <xdr:clientData/>
  </xdr:twoCellAnchor>
  <xdr:twoCellAnchor editAs="oneCell">
    <xdr:from>
      <xdr:col>4</xdr:col>
      <xdr:colOff>714375</xdr:colOff>
      <xdr:row>28</xdr:row>
      <xdr:rowOff>161925</xdr:rowOff>
    </xdr:from>
    <xdr:to>
      <xdr:col>6</xdr:col>
      <xdr:colOff>78740</xdr:colOff>
      <xdr:row>28</xdr:row>
      <xdr:rowOff>649605</xdr:rowOff>
    </xdr:to>
    <xdr:pic>
      <xdr:nvPicPr>
        <xdr:cNvPr id="4" name="图片 3" descr="邓志华"/>
        <xdr:cNvPicPr>
          <a:picLocks noChangeAspect="1"/>
        </xdr:cNvPicPr>
      </xdr:nvPicPr>
      <xdr:blipFill>
        <a:blip r:embed="rId3"/>
        <a:stretch>
          <a:fillRect/>
        </a:stretch>
      </xdr:blipFill>
      <xdr:spPr>
        <a:xfrm>
          <a:off x="2981325" y="8429625"/>
          <a:ext cx="850265" cy="487680"/>
        </a:xfrm>
        <a:prstGeom prst="rect">
          <a:avLst/>
        </a:prstGeom>
      </xdr:spPr>
    </xdr:pic>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80645</xdr:colOff>
      <xdr:row>28</xdr:row>
      <xdr:rowOff>118745</xdr:rowOff>
    </xdr:from>
    <xdr:to>
      <xdr:col>2</xdr:col>
      <xdr:colOff>69850</xdr:colOff>
      <xdr:row>28</xdr:row>
      <xdr:rowOff>544830</xdr:rowOff>
    </xdr:to>
    <xdr:pic>
      <xdr:nvPicPr>
        <xdr:cNvPr id="2" name="图片 1" descr="熊茂"/>
        <xdr:cNvPicPr>
          <a:picLocks noChangeAspect="1"/>
        </xdr:cNvPicPr>
      </xdr:nvPicPr>
      <xdr:blipFill>
        <a:blip r:embed="rId1"/>
        <a:stretch>
          <a:fillRect/>
        </a:stretch>
      </xdr:blipFill>
      <xdr:spPr>
        <a:xfrm>
          <a:off x="652145" y="8386445"/>
          <a:ext cx="694055" cy="426085"/>
        </a:xfrm>
        <a:prstGeom prst="rect">
          <a:avLst/>
        </a:prstGeom>
      </xdr:spPr>
    </xdr:pic>
    <xdr:clientData/>
  </xdr:twoCellAnchor>
  <xdr:twoCellAnchor editAs="oneCell">
    <xdr:from>
      <xdr:col>7</xdr:col>
      <xdr:colOff>391160</xdr:colOff>
      <xdr:row>28</xdr:row>
      <xdr:rowOff>114300</xdr:rowOff>
    </xdr:from>
    <xdr:to>
      <xdr:col>8</xdr:col>
      <xdr:colOff>1044575</xdr:colOff>
      <xdr:row>28</xdr:row>
      <xdr:rowOff>641350</xdr:rowOff>
    </xdr:to>
    <xdr:pic>
      <xdr:nvPicPr>
        <xdr:cNvPr id="3" name="图片 2" descr="李炳强"/>
        <xdr:cNvPicPr>
          <a:picLocks noChangeAspect="1"/>
        </xdr:cNvPicPr>
      </xdr:nvPicPr>
      <xdr:blipFill>
        <a:blip r:embed="rId2"/>
        <a:stretch>
          <a:fillRect/>
        </a:stretch>
      </xdr:blipFill>
      <xdr:spPr>
        <a:xfrm>
          <a:off x="4934585" y="8382000"/>
          <a:ext cx="1443990" cy="527050"/>
        </a:xfrm>
        <a:prstGeom prst="rect">
          <a:avLst/>
        </a:prstGeom>
      </xdr:spPr>
    </xdr:pic>
    <xdr:clientData/>
  </xdr:twoCellAnchor>
  <xdr:twoCellAnchor editAs="oneCell">
    <xdr:from>
      <xdr:col>4</xdr:col>
      <xdr:colOff>714375</xdr:colOff>
      <xdr:row>28</xdr:row>
      <xdr:rowOff>161925</xdr:rowOff>
    </xdr:from>
    <xdr:to>
      <xdr:col>6</xdr:col>
      <xdr:colOff>78105</xdr:colOff>
      <xdr:row>28</xdr:row>
      <xdr:rowOff>648970</xdr:rowOff>
    </xdr:to>
    <xdr:pic>
      <xdr:nvPicPr>
        <xdr:cNvPr id="4" name="图片 3" descr="邓志华"/>
        <xdr:cNvPicPr>
          <a:picLocks noChangeAspect="1"/>
        </xdr:cNvPicPr>
      </xdr:nvPicPr>
      <xdr:blipFill>
        <a:blip r:embed="rId3"/>
        <a:stretch>
          <a:fillRect/>
        </a:stretch>
      </xdr:blipFill>
      <xdr:spPr>
        <a:xfrm>
          <a:off x="2981325" y="8429625"/>
          <a:ext cx="849630" cy="487045"/>
        </a:xfrm>
        <a:prstGeom prst="rect">
          <a:avLst/>
        </a:prstGeom>
      </xdr:spPr>
    </xdr:pic>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80645</xdr:colOff>
      <xdr:row>28</xdr:row>
      <xdr:rowOff>118745</xdr:rowOff>
    </xdr:from>
    <xdr:to>
      <xdr:col>2</xdr:col>
      <xdr:colOff>69215</xdr:colOff>
      <xdr:row>28</xdr:row>
      <xdr:rowOff>544195</xdr:rowOff>
    </xdr:to>
    <xdr:pic>
      <xdr:nvPicPr>
        <xdr:cNvPr id="2" name="图片 1" descr="熊茂"/>
        <xdr:cNvPicPr>
          <a:picLocks noChangeAspect="1"/>
        </xdr:cNvPicPr>
      </xdr:nvPicPr>
      <xdr:blipFill>
        <a:blip r:embed="rId1"/>
        <a:stretch>
          <a:fillRect/>
        </a:stretch>
      </xdr:blipFill>
      <xdr:spPr>
        <a:xfrm>
          <a:off x="652145" y="8386445"/>
          <a:ext cx="693420" cy="425450"/>
        </a:xfrm>
        <a:prstGeom prst="rect">
          <a:avLst/>
        </a:prstGeom>
      </xdr:spPr>
    </xdr:pic>
    <xdr:clientData/>
  </xdr:twoCellAnchor>
  <xdr:twoCellAnchor editAs="oneCell">
    <xdr:from>
      <xdr:col>7</xdr:col>
      <xdr:colOff>391160</xdr:colOff>
      <xdr:row>28</xdr:row>
      <xdr:rowOff>114300</xdr:rowOff>
    </xdr:from>
    <xdr:to>
      <xdr:col>8</xdr:col>
      <xdr:colOff>1043940</xdr:colOff>
      <xdr:row>28</xdr:row>
      <xdr:rowOff>640715</xdr:rowOff>
    </xdr:to>
    <xdr:pic>
      <xdr:nvPicPr>
        <xdr:cNvPr id="3" name="图片 2" descr="李炳强"/>
        <xdr:cNvPicPr>
          <a:picLocks noChangeAspect="1"/>
        </xdr:cNvPicPr>
      </xdr:nvPicPr>
      <xdr:blipFill>
        <a:blip r:embed="rId2"/>
        <a:stretch>
          <a:fillRect/>
        </a:stretch>
      </xdr:blipFill>
      <xdr:spPr>
        <a:xfrm>
          <a:off x="4934585" y="8382000"/>
          <a:ext cx="1443355" cy="526415"/>
        </a:xfrm>
        <a:prstGeom prst="rect">
          <a:avLst/>
        </a:prstGeom>
      </xdr:spPr>
    </xdr:pic>
    <xdr:clientData/>
  </xdr:twoCellAnchor>
  <xdr:twoCellAnchor editAs="oneCell">
    <xdr:from>
      <xdr:col>4</xdr:col>
      <xdr:colOff>714375</xdr:colOff>
      <xdr:row>28</xdr:row>
      <xdr:rowOff>161925</xdr:rowOff>
    </xdr:from>
    <xdr:to>
      <xdr:col>6</xdr:col>
      <xdr:colOff>77470</xdr:colOff>
      <xdr:row>28</xdr:row>
      <xdr:rowOff>648335</xdr:rowOff>
    </xdr:to>
    <xdr:pic>
      <xdr:nvPicPr>
        <xdr:cNvPr id="4" name="图片 3" descr="邓志华"/>
        <xdr:cNvPicPr>
          <a:picLocks noChangeAspect="1"/>
        </xdr:cNvPicPr>
      </xdr:nvPicPr>
      <xdr:blipFill>
        <a:blip r:embed="rId3"/>
        <a:stretch>
          <a:fillRect/>
        </a:stretch>
      </xdr:blipFill>
      <xdr:spPr>
        <a:xfrm>
          <a:off x="2981325" y="8429625"/>
          <a:ext cx="848995" cy="486410"/>
        </a:xfrm>
        <a:prstGeom prst="rect">
          <a:avLst/>
        </a:prstGeom>
      </xdr:spPr>
    </xdr:pic>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80645</xdr:colOff>
      <xdr:row>28</xdr:row>
      <xdr:rowOff>118745</xdr:rowOff>
    </xdr:from>
    <xdr:to>
      <xdr:col>2</xdr:col>
      <xdr:colOff>68580</xdr:colOff>
      <xdr:row>28</xdr:row>
      <xdr:rowOff>543560</xdr:rowOff>
    </xdr:to>
    <xdr:pic>
      <xdr:nvPicPr>
        <xdr:cNvPr id="2" name="图片 1" descr="熊茂"/>
        <xdr:cNvPicPr>
          <a:picLocks noChangeAspect="1"/>
        </xdr:cNvPicPr>
      </xdr:nvPicPr>
      <xdr:blipFill>
        <a:blip r:embed="rId1"/>
        <a:stretch>
          <a:fillRect/>
        </a:stretch>
      </xdr:blipFill>
      <xdr:spPr>
        <a:xfrm>
          <a:off x="652145" y="8386445"/>
          <a:ext cx="692785" cy="424815"/>
        </a:xfrm>
        <a:prstGeom prst="rect">
          <a:avLst/>
        </a:prstGeom>
      </xdr:spPr>
    </xdr:pic>
    <xdr:clientData/>
  </xdr:twoCellAnchor>
  <xdr:twoCellAnchor editAs="oneCell">
    <xdr:from>
      <xdr:col>7</xdr:col>
      <xdr:colOff>391160</xdr:colOff>
      <xdr:row>28</xdr:row>
      <xdr:rowOff>114300</xdr:rowOff>
    </xdr:from>
    <xdr:to>
      <xdr:col>8</xdr:col>
      <xdr:colOff>1043305</xdr:colOff>
      <xdr:row>28</xdr:row>
      <xdr:rowOff>640080</xdr:rowOff>
    </xdr:to>
    <xdr:pic>
      <xdr:nvPicPr>
        <xdr:cNvPr id="3" name="图片 2" descr="李炳强"/>
        <xdr:cNvPicPr>
          <a:picLocks noChangeAspect="1"/>
        </xdr:cNvPicPr>
      </xdr:nvPicPr>
      <xdr:blipFill>
        <a:blip r:embed="rId2"/>
        <a:stretch>
          <a:fillRect/>
        </a:stretch>
      </xdr:blipFill>
      <xdr:spPr>
        <a:xfrm>
          <a:off x="4934585" y="8382000"/>
          <a:ext cx="1442720" cy="525780"/>
        </a:xfrm>
        <a:prstGeom prst="rect">
          <a:avLst/>
        </a:prstGeom>
      </xdr:spPr>
    </xdr:pic>
    <xdr:clientData/>
  </xdr:twoCellAnchor>
  <xdr:twoCellAnchor editAs="oneCell">
    <xdr:from>
      <xdr:col>4</xdr:col>
      <xdr:colOff>714375</xdr:colOff>
      <xdr:row>28</xdr:row>
      <xdr:rowOff>161925</xdr:rowOff>
    </xdr:from>
    <xdr:to>
      <xdr:col>6</xdr:col>
      <xdr:colOff>76835</xdr:colOff>
      <xdr:row>28</xdr:row>
      <xdr:rowOff>647700</xdr:rowOff>
    </xdr:to>
    <xdr:pic>
      <xdr:nvPicPr>
        <xdr:cNvPr id="4" name="图片 3" descr="邓志华"/>
        <xdr:cNvPicPr>
          <a:picLocks noChangeAspect="1"/>
        </xdr:cNvPicPr>
      </xdr:nvPicPr>
      <xdr:blipFill>
        <a:blip r:embed="rId3"/>
        <a:stretch>
          <a:fillRect/>
        </a:stretch>
      </xdr:blipFill>
      <xdr:spPr>
        <a:xfrm>
          <a:off x="2981325" y="8429625"/>
          <a:ext cx="848360" cy="4857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2996;&#25176;&#21333;&#20301;&#20449;&#24687;.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目录"/>
      <sheetName val="委托单位信息"/>
      <sheetName val="钢筋原材检测"/>
      <sheetName val="钢筋机械连接检测"/>
      <sheetName val="钢筋焊接检测"/>
      <sheetName val="混凝土抗压检测"/>
      <sheetName val="砂浆抗压检测"/>
      <sheetName val="砂子检测"/>
      <sheetName val="碎石检测"/>
      <sheetName val="水泥检测"/>
      <sheetName val="混凝土配合比检测"/>
      <sheetName val="砂浆配合比检测"/>
      <sheetName val="砌体检测"/>
      <sheetName val="水工混凝土抗压检测"/>
      <sheetName val="水工混凝土配合比检测"/>
      <sheetName val="水工砂浆抗压检测"/>
      <sheetName val="水工砂浆配合比检测"/>
      <sheetName val="混凝土抗渗检测"/>
      <sheetName val="压实度检测"/>
      <sheetName val="沥青混合料检测"/>
    </sheetNames>
    <sheetDataSet>
      <sheetData sheetId="0"/>
      <sheetData sheetId="1"/>
      <sheetData sheetId="2"/>
      <sheetData sheetId="3"/>
      <sheetData sheetId="4"/>
      <sheetData sheetId="5"/>
      <sheetData sheetId="6"/>
      <sheetData sheetId="7">
        <row r="4">
          <cell r="B4" t="str">
            <v>芦山县大川镇小河村水坝子组泥石流等7处治理工程清淤加固项目(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v>
          </cell>
          <cell r="C4" t="str">
            <v>普通</v>
          </cell>
          <cell r="D4" t="str">
            <v>机制中砂</v>
          </cell>
          <cell r="E4" t="str">
            <v>芦山县大发砂石厂</v>
          </cell>
          <cell r="F4" t="str">
            <v>——</v>
          </cell>
          <cell r="G4" t="str">
            <v>——</v>
          </cell>
          <cell r="H4" t="str">
            <v>600t</v>
          </cell>
          <cell r="I4" t="str">
            <v>桩板墙</v>
          </cell>
          <cell r="J4">
            <v>1</v>
          </cell>
          <cell r="K4">
            <v>44287</v>
          </cell>
          <cell r="L4" t="str">
            <v>150502-2021000013</v>
          </cell>
        </row>
        <row r="5">
          <cell r="B5" t="str">
            <v>青神县瑞峰镇中岩村1组德云寺滑坡地质灾害工程治理项目</v>
          </cell>
          <cell r="C5" t="str">
            <v>普通</v>
          </cell>
          <cell r="D5" t="str">
            <v>机制中砂</v>
          </cell>
          <cell r="E5" t="str">
            <v>芦山县大发砂石厂</v>
          </cell>
          <cell r="F5" t="str">
            <v>——</v>
          </cell>
          <cell r="G5" t="str">
            <v>——</v>
          </cell>
          <cell r="H5" t="str">
            <v>600t</v>
          </cell>
          <cell r="I5" t="str">
            <v>桩板墙</v>
          </cell>
          <cell r="J5">
            <v>1</v>
          </cell>
          <cell r="K5">
            <v>44328</v>
          </cell>
          <cell r="L5" t="str">
            <v>150502-2021000014</v>
          </cell>
        </row>
      </sheetData>
      <sheetData sheetId="8"/>
      <sheetData sheetId="9">
        <row r="4">
          <cell r="B4" t="str">
            <v>芦山县大川镇小河村水坝子组泥石流等7处治理工程清淤加固项目(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v>
          </cell>
          <cell r="C4" t="str">
            <v>PO42.5</v>
          </cell>
        </row>
        <row r="4">
          <cell r="E4" t="str">
            <v>42.5</v>
          </cell>
          <cell r="F4" t="str">
            <v>眉山市峨通水泥有限公司</v>
          </cell>
          <cell r="G4">
            <v>44328</v>
          </cell>
          <cell r="H4" t="str">
            <v>B-014</v>
          </cell>
        </row>
        <row r="4">
          <cell r="M4" t="str">
            <v>010601-2021000021</v>
          </cell>
        </row>
        <row r="5">
          <cell r="B5" t="str">
            <v>芦山县大川镇小河村水坝子组泥石流等7处治理工程清淤加固项目(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v>
          </cell>
          <cell r="C5" t="str">
            <v>PSA32.5R</v>
          </cell>
        </row>
        <row r="5">
          <cell r="E5" t="str">
            <v>32.5R</v>
          </cell>
          <cell r="F5" t="str">
            <v>眉山峨兴水泥厂</v>
          </cell>
          <cell r="G5">
            <v>44328</v>
          </cell>
          <cell r="H5" t="str">
            <v>C-017</v>
          </cell>
        </row>
        <row r="5">
          <cell r="M5" t="str">
            <v>010601-2021000022</v>
          </cell>
        </row>
        <row r="6">
          <cell r="B6" t="str">
            <v>青神县瑞峰镇中岩村1组德云寺滑坡地质灾害工程治理项目</v>
          </cell>
          <cell r="C6" t="str">
            <v>PO42.5</v>
          </cell>
        </row>
        <row r="6">
          <cell r="E6" t="str">
            <v>42.5</v>
          </cell>
          <cell r="F6" t="str">
            <v>眉山市峨通水泥有限公司</v>
          </cell>
          <cell r="G6">
            <v>44328</v>
          </cell>
          <cell r="H6" t="str">
            <v>B-014</v>
          </cell>
        </row>
        <row r="6">
          <cell r="M6" t="str">
            <v>010601-2021000023</v>
          </cell>
        </row>
        <row r="7">
          <cell r="E7" t="str">
            <v/>
          </cell>
        </row>
        <row r="8">
          <cell r="E8" t="str">
            <v/>
          </cell>
        </row>
        <row r="9">
          <cell r="E9" t="str">
            <v/>
          </cell>
        </row>
        <row r="10">
          <cell r="E10" t="str">
            <v/>
          </cell>
        </row>
        <row r="11">
          <cell r="E11" t="str">
            <v/>
          </cell>
        </row>
        <row r="12">
          <cell r="E12" t="str">
            <v/>
          </cell>
        </row>
        <row r="13">
          <cell r="E13" t="str">
            <v/>
          </cell>
        </row>
        <row r="14">
          <cell r="E14" t="str">
            <v/>
          </cell>
        </row>
        <row r="15">
          <cell r="E15" t="str">
            <v/>
          </cell>
        </row>
        <row r="16">
          <cell r="E16" t="str">
            <v/>
          </cell>
        </row>
        <row r="17">
          <cell r="E17" t="str">
            <v/>
          </cell>
        </row>
        <row r="18">
          <cell r="E18" t="str">
            <v/>
          </cell>
        </row>
        <row r="19">
          <cell r="E19" t="str">
            <v/>
          </cell>
        </row>
        <row r="20">
          <cell r="E20" t="str">
            <v/>
          </cell>
        </row>
        <row r="21">
          <cell r="E21" t="str">
            <v/>
          </cell>
        </row>
        <row r="22">
          <cell r="E22" t="str">
            <v/>
          </cell>
        </row>
        <row r="23">
          <cell r="E23" t="str">
            <v/>
          </cell>
        </row>
        <row r="24">
          <cell r="E24" t="str">
            <v/>
          </cell>
        </row>
        <row r="25">
          <cell r="E25" t="str">
            <v/>
          </cell>
        </row>
      </sheetData>
      <sheetData sheetId="10"/>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1000"/>
  <sheetViews>
    <sheetView workbookViewId="0">
      <selection activeCell="A3" sqref="A3:K9"/>
    </sheetView>
  </sheetViews>
  <sheetFormatPr defaultColWidth="9" defaultRowHeight="13.5"/>
  <cols>
    <col min="1" max="1" width="9" style="60"/>
    <col min="2" max="2" width="27.75" style="60" customWidth="1"/>
    <col min="3" max="3" width="13.75" style="60" customWidth="1"/>
    <col min="4" max="5" width="17.125" style="60" customWidth="1"/>
    <col min="6" max="6" width="9" style="60"/>
    <col min="7" max="7" width="12.625" style="60"/>
    <col min="8" max="8" width="9" style="60"/>
    <col min="9" max="9" width="12.625" style="60"/>
    <col min="10" max="10" width="15.25" style="60" customWidth="1"/>
    <col min="11" max="16384" width="9" style="60"/>
  </cols>
  <sheetData>
    <row r="1" ht="30" customHeight="1" spans="1:11">
      <c r="A1" s="57" t="s">
        <v>0</v>
      </c>
      <c r="B1" s="57"/>
      <c r="C1" s="57"/>
      <c r="D1" s="57"/>
      <c r="E1" s="57"/>
      <c r="F1" s="57"/>
      <c r="G1" s="57"/>
      <c r="H1" s="57"/>
      <c r="I1" s="57"/>
      <c r="J1" s="57"/>
      <c r="K1" s="57"/>
    </row>
    <row r="2" s="57" customFormat="1" ht="28" customHeight="1" spans="1:11">
      <c r="A2" s="57" t="s">
        <v>1</v>
      </c>
      <c r="B2" s="57" t="s">
        <v>2</v>
      </c>
      <c r="C2" s="57" t="s">
        <v>3</v>
      </c>
      <c r="D2" s="57" t="s">
        <v>4</v>
      </c>
      <c r="E2" s="57" t="s">
        <v>5</v>
      </c>
      <c r="F2" s="57" t="s">
        <v>6</v>
      </c>
      <c r="G2" s="57" t="s">
        <v>7</v>
      </c>
      <c r="H2" s="57" t="s">
        <v>8</v>
      </c>
      <c r="I2" s="57" t="s">
        <v>9</v>
      </c>
      <c r="J2" s="57" t="s">
        <v>10</v>
      </c>
      <c r="K2" s="57" t="s">
        <v>11</v>
      </c>
    </row>
    <row r="3" ht="27" spans="1:10">
      <c r="A3" s="60" t="s">
        <v>12</v>
      </c>
      <c r="B3" s="60" t="s">
        <v>13</v>
      </c>
      <c r="C3" s="60" t="s">
        <v>14</v>
      </c>
      <c r="D3" s="60" t="s">
        <v>14</v>
      </c>
      <c r="E3" s="60" t="s">
        <v>15</v>
      </c>
      <c r="F3" s="71" t="s">
        <v>16</v>
      </c>
      <c r="G3" s="60">
        <v>18228131927</v>
      </c>
      <c r="H3" s="60" t="s">
        <v>17</v>
      </c>
      <c r="I3" s="60">
        <v>17323288028</v>
      </c>
      <c r="J3" s="60" t="str">
        <f t="shared" ref="J3:J9" si="0">IF(F3&lt;&gt;"——","有见证取样送检","委托送样检测")</f>
        <v>有见证取样送检</v>
      </c>
    </row>
    <row r="4" ht="27" spans="1:10">
      <c r="A4" s="60" t="s">
        <v>18</v>
      </c>
      <c r="B4" s="60" t="s">
        <v>19</v>
      </c>
      <c r="C4" s="60" t="s">
        <v>14</v>
      </c>
      <c r="D4" s="60" t="s">
        <v>14</v>
      </c>
      <c r="E4" s="72" t="s">
        <v>20</v>
      </c>
      <c r="F4" s="72" t="s">
        <v>21</v>
      </c>
      <c r="G4" s="72">
        <v>15884546766</v>
      </c>
      <c r="H4" s="72" t="s">
        <v>22</v>
      </c>
      <c r="I4" s="72">
        <v>18128131927</v>
      </c>
      <c r="J4" s="60" t="str">
        <f t="shared" si="0"/>
        <v>有见证取样送检</v>
      </c>
    </row>
    <row r="5" ht="27" spans="1:10">
      <c r="A5" s="60" t="s">
        <v>23</v>
      </c>
      <c r="B5" s="72" t="s">
        <v>24</v>
      </c>
      <c r="C5" s="60" t="s">
        <v>14</v>
      </c>
      <c r="D5" s="60" t="s">
        <v>14</v>
      </c>
      <c r="E5" s="72" t="s">
        <v>20</v>
      </c>
      <c r="F5" s="72" t="s">
        <v>21</v>
      </c>
      <c r="G5" s="72">
        <v>15884546766</v>
      </c>
      <c r="H5" s="72" t="s">
        <v>22</v>
      </c>
      <c r="I5" s="72">
        <v>18128131927</v>
      </c>
      <c r="J5" s="60" t="str">
        <f t="shared" si="0"/>
        <v>有见证取样送检</v>
      </c>
    </row>
    <row r="6" ht="27" spans="1:10">
      <c r="A6" s="60" t="s">
        <v>25</v>
      </c>
      <c r="B6" s="72" t="s">
        <v>26</v>
      </c>
      <c r="C6" s="60" t="s">
        <v>14</v>
      </c>
      <c r="D6" s="60" t="s">
        <v>14</v>
      </c>
      <c r="E6" s="72" t="s">
        <v>20</v>
      </c>
      <c r="F6" s="72" t="s">
        <v>21</v>
      </c>
      <c r="G6" s="72">
        <v>15884546766</v>
      </c>
      <c r="H6" s="72" t="s">
        <v>22</v>
      </c>
      <c r="I6" s="72">
        <v>18128131927</v>
      </c>
      <c r="J6" s="60" t="str">
        <f t="shared" si="0"/>
        <v>有见证取样送检</v>
      </c>
    </row>
    <row r="7" ht="27" spans="1:10">
      <c r="A7" s="60" t="s">
        <v>27</v>
      </c>
      <c r="B7" s="72" t="s">
        <v>28</v>
      </c>
      <c r="C7" s="60" t="s">
        <v>14</v>
      </c>
      <c r="D7" s="60" t="s">
        <v>14</v>
      </c>
      <c r="E7" s="72" t="s">
        <v>20</v>
      </c>
      <c r="F7" s="72" t="s">
        <v>21</v>
      </c>
      <c r="G7" s="72">
        <v>15884546766</v>
      </c>
      <c r="H7" s="72" t="s">
        <v>22</v>
      </c>
      <c r="I7" s="72">
        <v>18128131927</v>
      </c>
      <c r="J7" s="60" t="str">
        <f t="shared" si="0"/>
        <v>有见证取样送检</v>
      </c>
    </row>
    <row r="8" ht="110.25" spans="1:10">
      <c r="A8" s="60" t="s">
        <v>29</v>
      </c>
      <c r="B8" s="61" t="s">
        <v>30</v>
      </c>
      <c r="C8" s="60" t="s">
        <v>14</v>
      </c>
      <c r="D8" s="60" t="s">
        <v>14</v>
      </c>
      <c r="E8" s="72" t="s">
        <v>20</v>
      </c>
      <c r="F8" s="72" t="s">
        <v>21</v>
      </c>
      <c r="G8" s="72">
        <v>15884546766</v>
      </c>
      <c r="H8" s="72" t="s">
        <v>22</v>
      </c>
      <c r="I8" s="72">
        <v>18128131927</v>
      </c>
      <c r="J8" s="60" t="str">
        <f t="shared" si="0"/>
        <v>有见证取样送检</v>
      </c>
    </row>
    <row r="9" spans="1:10">
      <c r="A9" s="60" t="s">
        <v>31</v>
      </c>
      <c r="B9" s="63" t="s">
        <v>32</v>
      </c>
      <c r="C9" s="63" t="s">
        <v>33</v>
      </c>
      <c r="D9" s="63" t="s">
        <v>33</v>
      </c>
      <c r="E9" s="63" t="s">
        <v>34</v>
      </c>
      <c r="F9" s="63" t="s">
        <v>35</v>
      </c>
      <c r="G9" s="63">
        <v>15288669020</v>
      </c>
      <c r="H9" s="63" t="s">
        <v>36</v>
      </c>
      <c r="I9" s="73">
        <v>18182238027</v>
      </c>
      <c r="J9" s="60" t="str">
        <f t="shared" si="0"/>
        <v>有见证取样送检</v>
      </c>
    </row>
    <row r="10" spans="1:11">
      <c r="A10"/>
      <c r="B10"/>
      <c r="C10"/>
      <c r="D10"/>
      <c r="E10"/>
      <c r="F10"/>
      <c r="G10"/>
      <c r="H10"/>
      <c r="I10"/>
      <c r="J10"/>
      <c r="K10"/>
    </row>
    <row r="11" spans="1:11">
      <c r="A11"/>
      <c r="B11"/>
      <c r="C11"/>
      <c r="D11"/>
      <c r="E11"/>
      <c r="F11"/>
      <c r="G11"/>
      <c r="H11"/>
      <c r="I11"/>
      <c r="J11"/>
      <c r="K11"/>
    </row>
    <row r="12" spans="1:11">
      <c r="A12"/>
      <c r="B12"/>
      <c r="C12"/>
      <c r="D12"/>
      <c r="E12"/>
      <c r="F12"/>
      <c r="G12"/>
      <c r="H12"/>
      <c r="I12"/>
      <c r="J12"/>
      <c r="K12"/>
    </row>
    <row r="13" spans="1:11">
      <c r="A13"/>
      <c r="B13"/>
      <c r="C13"/>
      <c r="D13"/>
      <c r="E13"/>
      <c r="F13"/>
      <c r="G13"/>
      <c r="H13"/>
      <c r="I13"/>
      <c r="J13"/>
      <c r="K13"/>
    </row>
    <row r="14" spans="1:11">
      <c r="A14"/>
      <c r="B14"/>
      <c r="C14"/>
      <c r="D14"/>
      <c r="E14"/>
      <c r="F14"/>
      <c r="G14"/>
      <c r="H14"/>
      <c r="I14"/>
      <c r="J14"/>
      <c r="K14"/>
    </row>
    <row r="15" spans="1:11">
      <c r="A15"/>
      <c r="B15"/>
      <c r="C15"/>
      <c r="D15"/>
      <c r="E15"/>
      <c r="F15"/>
      <c r="G15"/>
      <c r="H15"/>
      <c r="I15"/>
      <c r="J15"/>
      <c r="K15"/>
    </row>
    <row r="16" spans="1:11">
      <c r="A16"/>
      <c r="B16"/>
      <c r="C16"/>
      <c r="D16"/>
      <c r="E16"/>
      <c r="F16"/>
      <c r="G16"/>
      <c r="H16"/>
      <c r="I16"/>
      <c r="J16"/>
      <c r="K16"/>
    </row>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c r="A20"/>
      <c r="B20"/>
      <c r="C20"/>
      <c r="D20"/>
      <c r="E20"/>
      <c r="F20"/>
      <c r="G20"/>
      <c r="H20"/>
      <c r="I20"/>
      <c r="J20"/>
      <c r="K20"/>
    </row>
    <row r="21" spans="1:11">
      <c r="A21"/>
      <c r="B21"/>
      <c r="C21"/>
      <c r="D21"/>
      <c r="E21"/>
      <c r="F21"/>
      <c r="G21"/>
      <c r="H21"/>
      <c r="I21"/>
      <c r="J21"/>
      <c r="K21"/>
    </row>
    <row r="22" spans="1:11">
      <c r="A22"/>
      <c r="B22"/>
      <c r="C22"/>
      <c r="D22"/>
      <c r="E22"/>
      <c r="F22"/>
      <c r="G22"/>
      <c r="H22"/>
      <c r="I22"/>
      <c r="J22"/>
      <c r="K22"/>
    </row>
    <row r="23" spans="1:11">
      <c r="A23"/>
      <c r="B23"/>
      <c r="C23"/>
      <c r="D23"/>
      <c r="E23"/>
      <c r="F23"/>
      <c r="G23"/>
      <c r="H23"/>
      <c r="I23"/>
      <c r="J23"/>
      <c r="K23"/>
    </row>
    <row r="24" spans="1:11">
      <c r="A24"/>
      <c r="B24"/>
      <c r="C24"/>
      <c r="D24"/>
      <c r="E24"/>
      <c r="F24"/>
      <c r="G24"/>
      <c r="H24"/>
      <c r="I24"/>
      <c r="J24"/>
      <c r="K24"/>
    </row>
    <row r="25" spans="1:11">
      <c r="A25"/>
      <c r="B25"/>
      <c r="C25"/>
      <c r="D25"/>
      <c r="E25"/>
      <c r="F25"/>
      <c r="G25"/>
      <c r="H25"/>
      <c r="I25"/>
      <c r="J25"/>
      <c r="K25"/>
    </row>
    <row r="26" spans="1:11">
      <c r="A26"/>
      <c r="B26"/>
      <c r="C26"/>
      <c r="D26"/>
      <c r="E26"/>
      <c r="F26"/>
      <c r="G26"/>
      <c r="H26"/>
      <c r="I26"/>
      <c r="J26"/>
      <c r="K26"/>
    </row>
    <row r="27" spans="1:11">
      <c r="A27"/>
      <c r="B27"/>
      <c r="C27"/>
      <c r="D27"/>
      <c r="E27"/>
      <c r="F27"/>
      <c r="G27"/>
      <c r="H27"/>
      <c r="I27"/>
      <c r="J27"/>
      <c r="K27"/>
    </row>
    <row r="28" spans="1:11">
      <c r="A28"/>
      <c r="B28"/>
      <c r="C28"/>
      <c r="D28"/>
      <c r="E28"/>
      <c r="F28"/>
      <c r="G28"/>
      <c r="H28"/>
      <c r="I28"/>
      <c r="J28"/>
      <c r="K28"/>
    </row>
    <row r="29" spans="1:11">
      <c r="A29"/>
      <c r="B29"/>
      <c r="C29"/>
      <c r="D29"/>
      <c r="E29"/>
      <c r="F29"/>
      <c r="G29"/>
      <c r="H29"/>
      <c r="I29"/>
      <c r="J29"/>
      <c r="K29"/>
    </row>
    <row r="30"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row r="94" spans="1:11">
      <c r="A94"/>
      <c r="B94"/>
      <c r="C94"/>
      <c r="D94"/>
      <c r="E94"/>
      <c r="F94"/>
      <c r="G94"/>
      <c r="H94"/>
      <c r="I94"/>
      <c r="J94"/>
      <c r="K94"/>
    </row>
    <row r="95" spans="1:11">
      <c r="A95"/>
      <c r="B95"/>
      <c r="C95"/>
      <c r="D95"/>
      <c r="E95"/>
      <c r="F95"/>
      <c r="G95"/>
      <c r="H95"/>
      <c r="I95"/>
      <c r="J95"/>
      <c r="K95"/>
    </row>
    <row r="96" spans="1:11">
      <c r="A96"/>
      <c r="B96"/>
      <c r="C96"/>
      <c r="D96"/>
      <c r="E96"/>
      <c r="F96"/>
      <c r="G96"/>
      <c r="H96"/>
      <c r="I96"/>
      <c r="J96"/>
      <c r="K96"/>
    </row>
    <row r="97" spans="1:11">
      <c r="A97"/>
      <c r="B97"/>
      <c r="C97"/>
      <c r="D97"/>
      <c r="E97"/>
      <c r="F97"/>
      <c r="G97"/>
      <c r="H97"/>
      <c r="I97"/>
      <c r="J97"/>
      <c r="K97"/>
    </row>
    <row r="98" spans="1:11">
      <c r="A98"/>
      <c r="B98"/>
      <c r="C98"/>
      <c r="D98"/>
      <c r="E98"/>
      <c r="F98"/>
      <c r="G98"/>
      <c r="H98"/>
      <c r="I98"/>
      <c r="J98"/>
      <c r="K98"/>
    </row>
    <row r="99" spans="1:11">
      <c r="A99"/>
      <c r="B99"/>
      <c r="C99"/>
      <c r="D99"/>
      <c r="E99"/>
      <c r="F99"/>
      <c r="G99"/>
      <c r="H99"/>
      <c r="I99"/>
      <c r="J99"/>
      <c r="K99"/>
    </row>
    <row r="100" spans="1:11">
      <c r="A100"/>
      <c r="B100"/>
      <c r="C100"/>
      <c r="D100"/>
      <c r="E100"/>
      <c r="F100"/>
      <c r="G100"/>
      <c r="H100"/>
      <c r="I100"/>
      <c r="J100"/>
      <c r="K100"/>
    </row>
    <row r="101" spans="1:11">
      <c r="A101"/>
      <c r="B101"/>
      <c r="C101"/>
      <c r="D101"/>
      <c r="E101"/>
      <c r="F101"/>
      <c r="G101"/>
      <c r="H101"/>
      <c r="I101"/>
      <c r="J101"/>
      <c r="K101"/>
    </row>
    <row r="102"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P5"/>
  <sheetViews>
    <sheetView topLeftCell="B1" workbookViewId="0">
      <selection activeCell="P9" sqref="P9"/>
    </sheetView>
  </sheetViews>
  <sheetFormatPr defaultColWidth="9" defaultRowHeight="13.5" outlineLevelRow="4"/>
  <cols>
    <col min="2" max="2" width="31.25" customWidth="1"/>
    <col min="6" max="6" width="21.625" customWidth="1"/>
    <col min="8" max="8" width="15.375" customWidth="1" outlineLevel="1"/>
    <col min="9" max="9" width="10.375" outlineLevel="1"/>
    <col min="10" max="10" width="14.375" customWidth="1"/>
    <col min="11" max="11" width="20.875" customWidth="1"/>
    <col min="12" max="12" width="18.25" customWidth="1"/>
    <col min="14" max="14" width="16.125" customWidth="1"/>
    <col min="15" max="15" width="11.125" customWidth="1"/>
    <col min="16" max="16" width="17.5" customWidth="1"/>
  </cols>
  <sheetData>
    <row r="1" ht="18.75" spans="1:16">
      <c r="A1" s="55" t="s">
        <v>37</v>
      </c>
      <c r="B1" s="55"/>
      <c r="C1" s="55"/>
      <c r="D1" s="55"/>
      <c r="E1" s="55"/>
      <c r="F1" s="55"/>
      <c r="G1" s="55"/>
      <c r="H1" s="55"/>
      <c r="I1" s="55"/>
      <c r="J1" s="55"/>
      <c r="K1" s="55"/>
      <c r="L1" s="55"/>
      <c r="M1" s="55"/>
      <c r="N1" s="55"/>
      <c r="O1" s="55"/>
      <c r="P1" s="55"/>
    </row>
    <row r="2" s="54" customFormat="1" ht="19" customHeight="1" spans="1:16">
      <c r="A2" s="56" t="s">
        <v>1</v>
      </c>
      <c r="B2" s="57" t="s">
        <v>38</v>
      </c>
      <c r="C2" s="56" t="s">
        <v>39</v>
      </c>
      <c r="D2" s="56" t="s">
        <v>40</v>
      </c>
      <c r="E2" s="56" t="s">
        <v>41</v>
      </c>
      <c r="F2" s="56" t="s">
        <v>40</v>
      </c>
      <c r="G2" s="56"/>
      <c r="H2" s="56"/>
      <c r="I2" s="56"/>
      <c r="J2" s="56"/>
      <c r="K2" s="65"/>
      <c r="L2" s="56" t="s">
        <v>42</v>
      </c>
      <c r="M2" s="56"/>
      <c r="N2" s="56"/>
      <c r="O2" s="56" t="s">
        <v>43</v>
      </c>
      <c r="P2" s="56" t="s">
        <v>44</v>
      </c>
    </row>
    <row r="3" s="54" customFormat="1" ht="30" customHeight="1" spans="1:16">
      <c r="A3" s="56"/>
      <c r="B3" s="57"/>
      <c r="C3" s="56"/>
      <c r="D3" s="56"/>
      <c r="E3" s="56"/>
      <c r="F3" s="58" t="s">
        <v>45</v>
      </c>
      <c r="G3" s="59" t="s">
        <v>46</v>
      </c>
      <c r="H3" s="59" t="s">
        <v>47</v>
      </c>
      <c r="I3" s="59" t="s">
        <v>48</v>
      </c>
      <c r="J3" s="58" t="s">
        <v>49</v>
      </c>
      <c r="K3" s="66" t="s">
        <v>44</v>
      </c>
      <c r="L3" s="58" t="s">
        <v>50</v>
      </c>
      <c r="M3" s="67" t="s">
        <v>51</v>
      </c>
      <c r="N3" s="58" t="s">
        <v>44</v>
      </c>
      <c r="O3" s="56"/>
      <c r="P3" s="56"/>
    </row>
    <row r="4" spans="1:15">
      <c r="A4" s="60">
        <v>1</v>
      </c>
      <c r="B4" s="60">
        <v>2</v>
      </c>
      <c r="C4" s="60">
        <v>3</v>
      </c>
      <c r="D4" s="60"/>
      <c r="E4" s="60">
        <v>4</v>
      </c>
      <c r="F4" s="60">
        <v>5</v>
      </c>
      <c r="G4" s="60">
        <v>6</v>
      </c>
      <c r="H4" s="60">
        <v>7</v>
      </c>
      <c r="I4" s="60">
        <v>8</v>
      </c>
      <c r="J4" s="60">
        <v>9</v>
      </c>
      <c r="K4" s="60">
        <v>10</v>
      </c>
      <c r="L4" s="60">
        <v>11</v>
      </c>
      <c r="M4" s="60">
        <v>12</v>
      </c>
      <c r="N4" s="60">
        <v>13</v>
      </c>
      <c r="O4" s="60">
        <v>17</v>
      </c>
    </row>
    <row r="5" ht="39" customHeight="1" spans="1:16">
      <c r="A5" s="60" t="s">
        <v>29</v>
      </c>
      <c r="B5" s="61" t="s">
        <v>30</v>
      </c>
      <c r="C5" s="62" t="s">
        <v>52</v>
      </c>
      <c r="D5" s="63" t="s">
        <v>53</v>
      </c>
      <c r="E5" s="63" t="s">
        <v>54</v>
      </c>
      <c r="F5" s="63" t="str">
        <f t="array" ref="F5">VLOOKUP($B5&amp;$D5,IF({1,0},[5]水泥检测!$B$4:$B$1000&amp;[5]水泥检测!$E$4:$E$1000,[5]水泥检测!$F$4:$F$1000),2,0)</f>
        <v>眉山峨兴水泥厂</v>
      </c>
      <c r="G5" s="63" t="str">
        <f t="array" ref="G5">VLOOKUP($B5&amp;$D5,IF({1,0},[5]水泥检测!$B$4:$B$1000&amp;[5]水泥检测!$E$4:$E$1000,[5]水泥检测!$C$4:$C$1000),2,0)</f>
        <v>PSA32.5R</v>
      </c>
      <c r="H5" s="64">
        <f t="array" ref="H5">VLOOKUP($B5&amp;$D5,IF({1,0},[5]水泥检测!$B$4:$B$1000&amp;[5]水泥检测!$E$4:$E$1000,[5]水泥检测!$G$4:$G$1000),2,0)</f>
        <v>44328</v>
      </c>
      <c r="I5" s="64" t="str">
        <f t="array" ref="I5">VLOOKUP($B5&amp;$D5,IF({1,0},[5]水泥检测!$B$4:$B$1000&amp;[5]水泥检测!$E$4:$E$1000,[5]水泥检测!$H$4:$H$1000),2,0)</f>
        <v>C-017</v>
      </c>
      <c r="J5" s="68" t="str">
        <f>TEXT(H5,"yyyy-mm-dd")&amp;"    "&amp;I5</f>
        <v>2021-05-12    C-017</v>
      </c>
      <c r="K5" s="69" t="str">
        <f t="array" ref="K5">VLOOKUP($B5&amp;$D5,IF({1,0},[5]水泥检测!$B$4:$B$1000&amp;[5]水泥检测!$E$4:$E$1000,[5]水泥检测!$M$4:$M$1000),2,0)</f>
        <v>010601-2021000022</v>
      </c>
      <c r="L5" s="63" t="str">
        <f>VLOOKUP($B5,[5]砂子检测!$B$4:$L$101,4,FALSE)</f>
        <v>芦山县大发砂石厂</v>
      </c>
      <c r="M5" s="63" t="str">
        <f>VLOOKUP($B5,[5]砂子检测!$B$4:$L$101,2,FALSE)</f>
        <v>普通</v>
      </c>
      <c r="N5" s="63" t="str">
        <f>VLOOKUP($B5,[5]砂子检测!$B$4:$L$101,11,FALSE)</f>
        <v>150502-2021000013</v>
      </c>
      <c r="O5" s="70">
        <v>44287</v>
      </c>
      <c r="P5" s="63" t="s">
        <v>55</v>
      </c>
    </row>
  </sheetData>
  <mergeCells count="10">
    <mergeCell ref="A1:P1"/>
    <mergeCell ref="F2:K2"/>
    <mergeCell ref="L2:N2"/>
    <mergeCell ref="A2:A3"/>
    <mergeCell ref="B2:B3"/>
    <mergeCell ref="C2:C3"/>
    <mergeCell ref="D2:D3"/>
    <mergeCell ref="E2:E3"/>
    <mergeCell ref="O2:O3"/>
    <mergeCell ref="P2:P3"/>
  </mergeCells>
  <dataValidations count="1">
    <dataValidation type="list" allowBlank="1" showInputMessage="1" showErrorMessage="1" sqref="D5">
      <formula1>"32.5,32.5R"</formula1>
    </dataValidation>
  </dataValidation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XEW30"/>
  <sheetViews>
    <sheetView view="pageBreakPreview" zoomScaleNormal="100" workbookViewId="0">
      <selection activeCell="K13" sqref="K13"/>
    </sheetView>
  </sheetViews>
  <sheetFormatPr defaultColWidth="9" defaultRowHeight="13.5"/>
  <cols>
    <col min="1" max="1" width="7.5" style="2" customWidth="1"/>
    <col min="2" max="2" width="9.25" style="2" customWidth="1"/>
    <col min="3" max="3" width="7.5" style="1" customWidth="1"/>
    <col min="4" max="4" width="5.5" style="1" customWidth="1"/>
    <col min="5" max="5" width="9.375" style="1" customWidth="1"/>
    <col min="6" max="6" width="10.125" style="1" customWidth="1"/>
    <col min="7" max="8" width="10.375" style="1" customWidth="1"/>
    <col min="9" max="9" width="16.875" style="1" customWidth="1"/>
    <col min="10" max="16381" width="9" style="1"/>
  </cols>
  <sheetData>
    <row r="1" s="1" customFormat="1" ht="8" customHeight="1" spans="1:16376">
      <c r="A1" s="3"/>
      <c r="B1" s="3"/>
      <c r="C1" s="3"/>
      <c r="D1" s="3"/>
      <c r="E1" s="2"/>
      <c r="F1" s="4"/>
      <c r="G1" s="4"/>
      <c r="H1" s="4"/>
      <c r="I1" s="4"/>
      <c r="XET1"/>
      <c r="XEU1"/>
      <c r="XEV1"/>
    </row>
    <row r="2" s="1" customFormat="1" ht="8" customHeight="1" spans="1:16376">
      <c r="A2" s="3"/>
      <c r="B2" s="3"/>
      <c r="C2" s="3"/>
      <c r="D2" s="3"/>
      <c r="E2" s="2"/>
      <c r="F2" s="5"/>
      <c r="G2" s="6"/>
      <c r="H2" s="6"/>
      <c r="I2" s="6"/>
      <c r="XET2"/>
      <c r="XEU2"/>
      <c r="XEV2"/>
    </row>
    <row r="3" s="1" customFormat="1" ht="8" customHeight="1" spans="1:16376">
      <c r="A3" s="3"/>
      <c r="B3" s="7"/>
      <c r="C3" s="7"/>
      <c r="D3" s="7"/>
      <c r="E3" s="7"/>
      <c r="F3" s="8"/>
      <c r="G3" s="9"/>
      <c r="H3" s="9"/>
      <c r="I3" s="9"/>
      <c r="XET3"/>
      <c r="XEU3"/>
      <c r="XEV3"/>
    </row>
    <row r="4" s="1" customFormat="1" ht="8" customHeight="1" spans="1:16377">
      <c r="A4" s="2"/>
      <c r="F4" s="4"/>
      <c r="G4" s="10"/>
      <c r="H4" s="10"/>
      <c r="I4" s="10"/>
      <c r="XER4"/>
      <c r="XES4"/>
      <c r="XET4"/>
      <c r="XEU4"/>
      <c r="XEV4"/>
      <c r="XEW4"/>
    </row>
    <row r="5" ht="20" customHeight="1" spans="1:9">
      <c r="A5" s="11" t="s">
        <v>56</v>
      </c>
      <c r="B5" s="11"/>
      <c r="C5" s="12"/>
      <c r="D5" s="12"/>
      <c r="E5" s="12"/>
      <c r="F5" s="12"/>
      <c r="G5" s="12"/>
      <c r="H5" s="12"/>
      <c r="I5" s="12"/>
    </row>
    <row r="6" ht="25" customHeight="1" spans="1:9">
      <c r="A6" s="13" t="s">
        <v>57</v>
      </c>
      <c r="B6" s="13"/>
      <c r="C6" s="14"/>
      <c r="D6" s="14"/>
      <c r="E6" s="14"/>
      <c r="F6" s="14"/>
      <c r="G6" s="14"/>
      <c r="H6" s="14"/>
      <c r="I6" s="14"/>
    </row>
    <row r="7" ht="27" customHeight="1" spans="1:9">
      <c r="A7" s="15" t="s">
        <v>58</v>
      </c>
      <c r="B7" s="15"/>
      <c r="C7" s="16" t="s">
        <v>59</v>
      </c>
      <c r="D7" s="16"/>
      <c r="E7" s="16"/>
      <c r="F7" s="16"/>
      <c r="G7" s="16"/>
      <c r="H7" s="17" t="s">
        <v>60</v>
      </c>
      <c r="I7" s="16" t="s">
        <v>61</v>
      </c>
    </row>
    <row r="8" ht="27" customHeight="1" spans="1:9">
      <c r="A8" s="15" t="s">
        <v>62</v>
      </c>
      <c r="B8" s="15"/>
      <c r="C8" s="16" t="s">
        <v>63</v>
      </c>
      <c r="D8" s="16"/>
      <c r="E8" s="16"/>
      <c r="F8" s="16"/>
      <c r="G8" s="16"/>
      <c r="H8" s="16"/>
      <c r="I8" s="16"/>
    </row>
    <row r="9" ht="27" customHeight="1" spans="1:9">
      <c r="A9" s="15" t="s">
        <v>64</v>
      </c>
      <c r="B9" s="15"/>
      <c r="C9" s="16" t="s">
        <v>65</v>
      </c>
      <c r="D9" s="16"/>
      <c r="E9" s="16"/>
      <c r="F9" s="16"/>
      <c r="G9" s="16"/>
      <c r="H9" s="17" t="s">
        <v>66</v>
      </c>
      <c r="I9" s="16" t="s">
        <v>67</v>
      </c>
    </row>
    <row r="10" ht="27" customHeight="1" spans="1:9">
      <c r="A10" s="15" t="s">
        <v>68</v>
      </c>
      <c r="B10" s="15"/>
      <c r="C10" s="16" t="s">
        <v>65</v>
      </c>
      <c r="D10" s="16"/>
      <c r="E10" s="16"/>
      <c r="F10" s="16"/>
      <c r="G10" s="16"/>
      <c r="H10" s="17" t="s">
        <v>69</v>
      </c>
      <c r="I10" s="16" t="s">
        <v>70</v>
      </c>
    </row>
    <row r="11" ht="27" customHeight="1" spans="1:9">
      <c r="A11" s="15" t="s">
        <v>71</v>
      </c>
      <c r="B11" s="15"/>
      <c r="C11" s="16" t="s">
        <v>65</v>
      </c>
      <c r="D11" s="16"/>
      <c r="E11" s="16"/>
      <c r="F11" s="16"/>
      <c r="G11" s="16"/>
      <c r="H11" s="17" t="s">
        <v>72</v>
      </c>
      <c r="I11" s="16" t="s">
        <v>65</v>
      </c>
    </row>
    <row r="12" ht="27" customHeight="1" spans="1:9">
      <c r="A12" s="15" t="s">
        <v>73</v>
      </c>
      <c r="B12" s="15"/>
      <c r="C12" s="18">
        <v>44301</v>
      </c>
      <c r="D12" s="18"/>
      <c r="E12" s="17" t="s">
        <v>74</v>
      </c>
      <c r="F12" s="18">
        <f>F14+28</f>
        <v>44334</v>
      </c>
      <c r="G12" s="18"/>
      <c r="H12" s="17" t="s">
        <v>75</v>
      </c>
      <c r="I12" s="18">
        <f>F12+2</f>
        <v>44336</v>
      </c>
    </row>
    <row r="13" ht="9" customHeight="1" spans="1:9">
      <c r="A13" s="19"/>
      <c r="B13" s="19"/>
      <c r="C13" s="20"/>
      <c r="D13" s="20"/>
      <c r="E13" s="21"/>
      <c r="F13" s="20"/>
      <c r="G13" s="20"/>
      <c r="H13" s="21"/>
      <c r="I13" s="20"/>
    </row>
    <row r="14" ht="20" customHeight="1" spans="1:9">
      <c r="A14" s="22" t="s">
        <v>76</v>
      </c>
      <c r="B14" s="22"/>
      <c r="C14" s="23" t="s">
        <v>77</v>
      </c>
      <c r="D14" s="23"/>
      <c r="E14" s="23" t="s">
        <v>78</v>
      </c>
      <c r="F14" s="24">
        <f>C12+5</f>
        <v>44306</v>
      </c>
      <c r="G14" s="24"/>
      <c r="H14" s="23" t="s">
        <v>79</v>
      </c>
      <c r="I14" s="23" t="s">
        <v>80</v>
      </c>
    </row>
    <row r="15" ht="8" customHeight="1" spans="1:9">
      <c r="A15" s="19"/>
      <c r="B15" s="19"/>
      <c r="C15" s="21"/>
      <c r="D15" s="21"/>
      <c r="E15" s="21"/>
      <c r="F15" s="21"/>
      <c r="G15" s="21"/>
      <c r="H15" s="21"/>
      <c r="I15" s="21"/>
    </row>
    <row r="16" ht="25" customHeight="1" spans="1:9">
      <c r="A16" s="22" t="s">
        <v>81</v>
      </c>
      <c r="B16" s="23" t="s">
        <v>40</v>
      </c>
      <c r="C16" s="25" t="s">
        <v>82</v>
      </c>
      <c r="D16" s="26"/>
      <c r="E16" s="27" t="s">
        <v>83</v>
      </c>
      <c r="F16" s="28" t="s">
        <v>84</v>
      </c>
      <c r="G16" s="53" t="s">
        <v>85</v>
      </c>
      <c r="H16" s="26" t="s">
        <v>86</v>
      </c>
      <c r="I16" s="45">
        <v>44279</v>
      </c>
    </row>
    <row r="17" ht="25" customHeight="1" spans="1:9">
      <c r="A17" s="22"/>
      <c r="B17" s="23"/>
      <c r="C17" s="30" t="s">
        <v>87</v>
      </c>
      <c r="D17" s="31"/>
      <c r="E17" s="32" t="s">
        <v>88</v>
      </c>
      <c r="F17" s="32"/>
      <c r="G17" s="32"/>
      <c r="H17" s="31" t="s">
        <v>60</v>
      </c>
      <c r="I17" s="46" t="s">
        <v>89</v>
      </c>
    </row>
    <row r="18" ht="25" customHeight="1" spans="1:9">
      <c r="A18" s="22"/>
      <c r="B18" s="23" t="s">
        <v>42</v>
      </c>
      <c r="C18" s="25" t="s">
        <v>82</v>
      </c>
      <c r="D18" s="26"/>
      <c r="E18" s="33" t="s">
        <v>90</v>
      </c>
      <c r="F18" s="33"/>
      <c r="G18" s="33"/>
      <c r="H18" s="26" t="s">
        <v>91</v>
      </c>
      <c r="I18" s="47" t="s">
        <v>65</v>
      </c>
    </row>
    <row r="19" ht="25" customHeight="1" spans="1:9">
      <c r="A19" s="22"/>
      <c r="B19" s="23"/>
      <c r="C19" s="30" t="s">
        <v>92</v>
      </c>
      <c r="D19" s="31"/>
      <c r="E19" s="32" t="s">
        <v>93</v>
      </c>
      <c r="F19" s="32"/>
      <c r="G19" s="32"/>
      <c r="H19" s="31" t="s">
        <v>60</v>
      </c>
      <c r="I19" s="48" t="s">
        <v>94</v>
      </c>
    </row>
    <row r="20" ht="25" customHeight="1" spans="1:9">
      <c r="A20" s="22"/>
      <c r="B20" s="23" t="s">
        <v>95</v>
      </c>
      <c r="C20" s="25" t="s">
        <v>96</v>
      </c>
      <c r="D20" s="26"/>
      <c r="E20" s="33" t="s">
        <v>65</v>
      </c>
      <c r="F20" s="33"/>
      <c r="G20" s="33"/>
      <c r="H20" s="34" t="s">
        <v>97</v>
      </c>
      <c r="I20" s="47" t="s">
        <v>65</v>
      </c>
    </row>
    <row r="21" ht="25" customHeight="1" spans="1:9">
      <c r="A21" s="22"/>
      <c r="B21" s="23"/>
      <c r="C21" s="30" t="s">
        <v>92</v>
      </c>
      <c r="D21" s="31"/>
      <c r="E21" s="32" t="s">
        <v>65</v>
      </c>
      <c r="F21" s="32"/>
      <c r="G21" s="32"/>
      <c r="H21" s="31" t="s">
        <v>60</v>
      </c>
      <c r="I21" s="49" t="s">
        <v>65</v>
      </c>
    </row>
    <row r="22" ht="25" customHeight="1" spans="1:9">
      <c r="A22" s="22"/>
      <c r="B22" s="23" t="s">
        <v>98</v>
      </c>
      <c r="C22" s="25" t="s">
        <v>96</v>
      </c>
      <c r="D22" s="26"/>
      <c r="E22" s="33" t="s">
        <v>65</v>
      </c>
      <c r="F22" s="33"/>
      <c r="G22" s="33"/>
      <c r="H22" s="34" t="s">
        <v>97</v>
      </c>
      <c r="I22" s="47" t="s">
        <v>65</v>
      </c>
    </row>
    <row r="23" ht="25" customHeight="1" spans="1:9">
      <c r="A23" s="22"/>
      <c r="B23" s="23"/>
      <c r="C23" s="30" t="s">
        <v>92</v>
      </c>
      <c r="D23" s="31"/>
      <c r="E23" s="32" t="s">
        <v>65</v>
      </c>
      <c r="F23" s="32"/>
      <c r="G23" s="32"/>
      <c r="H23" s="31" t="s">
        <v>60</v>
      </c>
      <c r="I23" s="49" t="s">
        <v>65</v>
      </c>
    </row>
    <row r="24" ht="25" customHeight="1" spans="1:9">
      <c r="A24" s="22" t="s">
        <v>99</v>
      </c>
      <c r="B24" s="23" t="s">
        <v>100</v>
      </c>
      <c r="C24" s="23"/>
      <c r="D24" s="35" t="s">
        <v>40</v>
      </c>
      <c r="E24" s="36"/>
      <c r="F24" s="35" t="s">
        <v>42</v>
      </c>
      <c r="G24" s="23" t="s">
        <v>95</v>
      </c>
      <c r="H24" s="23" t="s">
        <v>98</v>
      </c>
      <c r="I24" s="23" t="s">
        <v>101</v>
      </c>
    </row>
    <row r="25" ht="25" customHeight="1" spans="1:9">
      <c r="A25" s="22"/>
      <c r="B25" s="23" t="s">
        <v>102</v>
      </c>
      <c r="C25" s="23"/>
      <c r="D25" s="35">
        <v>340</v>
      </c>
      <c r="E25" s="36"/>
      <c r="F25" s="35">
        <v>1560</v>
      </c>
      <c r="G25" s="23" t="s">
        <v>103</v>
      </c>
      <c r="H25" s="23" t="s">
        <v>103</v>
      </c>
      <c r="I25" s="23">
        <v>285</v>
      </c>
    </row>
    <row r="26" ht="25" customHeight="1" spans="1:9">
      <c r="A26" s="22"/>
      <c r="B26" s="23" t="s">
        <v>104</v>
      </c>
      <c r="C26" s="23"/>
      <c r="D26" s="35">
        <v>1</v>
      </c>
      <c r="E26" s="36"/>
      <c r="F26" s="35">
        <v>4.59</v>
      </c>
      <c r="G26" s="23" t="s">
        <v>103</v>
      </c>
      <c r="H26" s="23" t="s">
        <v>103</v>
      </c>
      <c r="I26" s="23">
        <v>0.84</v>
      </c>
    </row>
    <row r="27" ht="44" customHeight="1" spans="1:9">
      <c r="A27" s="37" t="s">
        <v>11</v>
      </c>
      <c r="B27" s="38"/>
      <c r="C27" s="39" t="s">
        <v>105</v>
      </c>
      <c r="D27" s="40"/>
      <c r="E27" s="40"/>
      <c r="F27" s="40"/>
      <c r="G27" s="40"/>
      <c r="H27" s="40"/>
      <c r="I27" s="50"/>
    </row>
    <row r="28" ht="56" customHeight="1" spans="1:9">
      <c r="A28" s="41" t="s">
        <v>106</v>
      </c>
      <c r="B28" s="41"/>
      <c r="C28" s="41"/>
      <c r="D28" s="41"/>
      <c r="E28" s="41"/>
      <c r="F28" s="41"/>
      <c r="G28" s="41"/>
      <c r="H28" s="41"/>
      <c r="I28" s="41"/>
    </row>
    <row r="29" ht="56" customHeight="1" spans="1:9">
      <c r="A29" s="42" t="s">
        <v>107</v>
      </c>
      <c r="B29" s="41"/>
      <c r="C29" s="41"/>
      <c r="D29" s="41"/>
      <c r="E29" s="19" t="s">
        <v>108</v>
      </c>
      <c r="F29" s="41"/>
      <c r="G29" s="41"/>
      <c r="H29" s="41" t="s">
        <v>109</v>
      </c>
      <c r="I29" s="41"/>
    </row>
    <row r="30" customFormat="1" ht="27" customHeight="1" spans="1:14">
      <c r="A30" s="43" t="s">
        <v>110</v>
      </c>
      <c r="B30" s="43"/>
      <c r="C30" s="43"/>
      <c r="D30" s="43"/>
      <c r="E30" s="43"/>
      <c r="F30" s="44"/>
      <c r="G30" s="43" t="s">
        <v>111</v>
      </c>
      <c r="H30" s="43"/>
      <c r="I30" s="43"/>
      <c r="J30" s="44"/>
      <c r="K30" s="44"/>
      <c r="L30" s="44"/>
      <c r="M30" s="44"/>
      <c r="N30" s="44"/>
    </row>
  </sheetData>
  <mergeCells count="55">
    <mergeCell ref="F1:I1"/>
    <mergeCell ref="G2:I2"/>
    <mergeCell ref="G3:I3"/>
    <mergeCell ref="A5:I5"/>
    <mergeCell ref="A6:I6"/>
    <mergeCell ref="A7:B7"/>
    <mergeCell ref="C7:G7"/>
    <mergeCell ref="A8:B8"/>
    <mergeCell ref="C8:I8"/>
    <mergeCell ref="A9:B9"/>
    <mergeCell ref="C9:G9"/>
    <mergeCell ref="A10:B10"/>
    <mergeCell ref="C10:G10"/>
    <mergeCell ref="A11:B11"/>
    <mergeCell ref="C11:G11"/>
    <mergeCell ref="A12:B12"/>
    <mergeCell ref="C12:D12"/>
    <mergeCell ref="F12:G12"/>
    <mergeCell ref="A14:B14"/>
    <mergeCell ref="C14:D14"/>
    <mergeCell ref="F14:G14"/>
    <mergeCell ref="C16:D16"/>
    <mergeCell ref="C17:D17"/>
    <mergeCell ref="E17:G17"/>
    <mergeCell ref="C18:D18"/>
    <mergeCell ref="E18:G18"/>
    <mergeCell ref="C19:D19"/>
    <mergeCell ref="E19:G19"/>
    <mergeCell ref="C20:D20"/>
    <mergeCell ref="E20:G20"/>
    <mergeCell ref="C21:D21"/>
    <mergeCell ref="E21:G21"/>
    <mergeCell ref="C22:D22"/>
    <mergeCell ref="E22:G22"/>
    <mergeCell ref="C23:D23"/>
    <mergeCell ref="E23:G23"/>
    <mergeCell ref="B24:C24"/>
    <mergeCell ref="D24:E24"/>
    <mergeCell ref="B25:C25"/>
    <mergeCell ref="D25:E25"/>
    <mergeCell ref="B26:C26"/>
    <mergeCell ref="D26:E26"/>
    <mergeCell ref="A27:B27"/>
    <mergeCell ref="C27:I27"/>
    <mergeCell ref="A28:I28"/>
    <mergeCell ref="A30:E30"/>
    <mergeCell ref="G30:I30"/>
    <mergeCell ref="A1:A2"/>
    <mergeCell ref="A16:A23"/>
    <mergeCell ref="A24:A26"/>
    <mergeCell ref="B16:B17"/>
    <mergeCell ref="B18:B19"/>
    <mergeCell ref="B20:B21"/>
    <mergeCell ref="B22:B23"/>
    <mergeCell ref="B1:D2"/>
  </mergeCell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XEW30"/>
  <sheetViews>
    <sheetView view="pageBreakPreview" zoomScaleNormal="100" workbookViewId="0">
      <selection activeCell="M18" sqref="M18"/>
    </sheetView>
  </sheetViews>
  <sheetFormatPr defaultColWidth="9" defaultRowHeight="13.5"/>
  <cols>
    <col min="1" max="1" width="7.5" style="2" customWidth="1"/>
    <col min="2" max="2" width="9.25" style="2" customWidth="1"/>
    <col min="3" max="3" width="7.5" style="1" customWidth="1"/>
    <col min="4" max="4" width="5.5" style="1" customWidth="1"/>
    <col min="5" max="5" width="9.375" style="1" customWidth="1"/>
    <col min="6" max="6" width="10.125" style="1" customWidth="1"/>
    <col min="7" max="8" width="10.375" style="1" customWidth="1"/>
    <col min="9" max="9" width="16.875" style="1" customWidth="1"/>
    <col min="10" max="16381" width="9" style="1"/>
  </cols>
  <sheetData>
    <row r="1" s="1" customFormat="1" ht="8" customHeight="1" spans="1:16376">
      <c r="A1" s="3"/>
      <c r="B1" s="3"/>
      <c r="C1" s="3"/>
      <c r="D1" s="3"/>
      <c r="E1" s="2"/>
      <c r="F1" s="4"/>
      <c r="G1" s="4"/>
      <c r="H1" s="4"/>
      <c r="I1" s="4"/>
      <c r="XET1"/>
      <c r="XEU1"/>
      <c r="XEV1"/>
    </row>
    <row r="2" s="1" customFormat="1" ht="8" customHeight="1" spans="1:16376">
      <c r="A2" s="3"/>
      <c r="B2" s="3"/>
      <c r="C2" s="3"/>
      <c r="D2" s="3"/>
      <c r="E2" s="2"/>
      <c r="F2" s="5"/>
      <c r="G2" s="6"/>
      <c r="H2" s="6"/>
      <c r="I2" s="6"/>
      <c r="XET2"/>
      <c r="XEU2"/>
      <c r="XEV2"/>
    </row>
    <row r="3" s="1" customFormat="1" ht="8" customHeight="1" spans="1:16376">
      <c r="A3" s="3"/>
      <c r="B3" s="7"/>
      <c r="C3" s="7"/>
      <c r="D3" s="7"/>
      <c r="E3" s="7"/>
      <c r="F3" s="8"/>
      <c r="G3" s="9"/>
      <c r="H3" s="9"/>
      <c r="I3" s="9"/>
      <c r="XET3"/>
      <c r="XEU3"/>
      <c r="XEV3"/>
    </row>
    <row r="4" s="1" customFormat="1" ht="8" customHeight="1" spans="1:16377">
      <c r="A4" s="2"/>
      <c r="F4" s="4"/>
      <c r="G4" s="10"/>
      <c r="H4" s="10"/>
      <c r="I4" s="10"/>
      <c r="XER4"/>
      <c r="XES4"/>
      <c r="XET4"/>
      <c r="XEU4"/>
      <c r="XEV4"/>
      <c r="XEW4"/>
    </row>
    <row r="5" ht="20" customHeight="1" spans="1:9">
      <c r="A5" s="11" t="s">
        <v>56</v>
      </c>
      <c r="B5" s="11"/>
      <c r="C5" s="12"/>
      <c r="D5" s="12"/>
      <c r="E5" s="12"/>
      <c r="F5" s="12"/>
      <c r="G5" s="12"/>
      <c r="H5" s="12"/>
      <c r="I5" s="12"/>
    </row>
    <row r="6" ht="25" customHeight="1" spans="1:9">
      <c r="A6" s="13" t="s">
        <v>57</v>
      </c>
      <c r="B6" s="13"/>
      <c r="C6" s="14"/>
      <c r="D6" s="14"/>
      <c r="E6" s="14"/>
      <c r="F6" s="14"/>
      <c r="G6" s="14"/>
      <c r="H6" s="14"/>
      <c r="I6" s="14"/>
    </row>
    <row r="7" ht="27" customHeight="1" spans="1:9">
      <c r="A7" s="15" t="s">
        <v>58</v>
      </c>
      <c r="B7" s="15"/>
      <c r="C7" s="16" t="s">
        <v>59</v>
      </c>
      <c r="D7" s="16"/>
      <c r="E7" s="16"/>
      <c r="F7" s="16"/>
      <c r="G7" s="16"/>
      <c r="H7" s="17" t="s">
        <v>60</v>
      </c>
      <c r="I7" s="16" t="s">
        <v>61</v>
      </c>
    </row>
    <row r="8" ht="27" customHeight="1" spans="1:9">
      <c r="A8" s="15" t="s">
        <v>62</v>
      </c>
      <c r="B8" s="15"/>
      <c r="C8" s="16" t="s">
        <v>63</v>
      </c>
      <c r="D8" s="16"/>
      <c r="E8" s="16"/>
      <c r="F8" s="16"/>
      <c r="G8" s="16"/>
      <c r="H8" s="16"/>
      <c r="I8" s="16"/>
    </row>
    <row r="9" ht="27" customHeight="1" spans="1:9">
      <c r="A9" s="15" t="s">
        <v>64</v>
      </c>
      <c r="B9" s="15"/>
      <c r="C9" s="16" t="s">
        <v>65</v>
      </c>
      <c r="D9" s="16"/>
      <c r="E9" s="16"/>
      <c r="F9" s="16"/>
      <c r="G9" s="16"/>
      <c r="H9" s="17" t="s">
        <v>66</v>
      </c>
      <c r="I9" s="16" t="s">
        <v>67</v>
      </c>
    </row>
    <row r="10" ht="27" customHeight="1" spans="1:9">
      <c r="A10" s="15" t="s">
        <v>68</v>
      </c>
      <c r="B10" s="15"/>
      <c r="C10" s="16" t="s">
        <v>65</v>
      </c>
      <c r="D10" s="16"/>
      <c r="E10" s="16"/>
      <c r="F10" s="16"/>
      <c r="G10" s="16"/>
      <c r="H10" s="17" t="s">
        <v>69</v>
      </c>
      <c r="I10" s="16" t="s">
        <v>70</v>
      </c>
    </row>
    <row r="11" ht="27" customHeight="1" spans="1:9">
      <c r="A11" s="15" t="s">
        <v>71</v>
      </c>
      <c r="B11" s="15"/>
      <c r="C11" s="16" t="s">
        <v>65</v>
      </c>
      <c r="D11" s="16"/>
      <c r="E11" s="16"/>
      <c r="F11" s="16"/>
      <c r="G11" s="16"/>
      <c r="H11" s="17" t="s">
        <v>72</v>
      </c>
      <c r="I11" s="16" t="s">
        <v>65</v>
      </c>
    </row>
    <row r="12" ht="27" customHeight="1" spans="1:9">
      <c r="A12" s="15" t="s">
        <v>73</v>
      </c>
      <c r="B12" s="15"/>
      <c r="C12" s="18">
        <v>44301</v>
      </c>
      <c r="D12" s="18"/>
      <c r="E12" s="17" t="s">
        <v>74</v>
      </c>
      <c r="F12" s="18">
        <f>F14+28</f>
        <v>44334</v>
      </c>
      <c r="G12" s="18"/>
      <c r="H12" s="17" t="s">
        <v>75</v>
      </c>
      <c r="I12" s="18">
        <f>F12+2</f>
        <v>44336</v>
      </c>
    </row>
    <row r="13" ht="9" customHeight="1" spans="1:9">
      <c r="A13" s="19"/>
      <c r="B13" s="19"/>
      <c r="C13" s="20"/>
      <c r="D13" s="20"/>
      <c r="E13" s="21"/>
      <c r="F13" s="20"/>
      <c r="G13" s="20"/>
      <c r="H13" s="21"/>
      <c r="I13" s="20"/>
    </row>
    <row r="14" ht="20" customHeight="1" spans="1:9">
      <c r="A14" s="22" t="s">
        <v>76</v>
      </c>
      <c r="B14" s="22"/>
      <c r="C14" s="23" t="s">
        <v>112</v>
      </c>
      <c r="D14" s="23"/>
      <c r="E14" s="23" t="s">
        <v>78</v>
      </c>
      <c r="F14" s="24">
        <f>C12+5</f>
        <v>44306</v>
      </c>
      <c r="G14" s="24"/>
      <c r="H14" s="23" t="s">
        <v>79</v>
      </c>
      <c r="I14" s="23" t="s">
        <v>80</v>
      </c>
    </row>
    <row r="15" ht="8" customHeight="1" spans="1:9">
      <c r="A15" s="19"/>
      <c r="B15" s="19"/>
      <c r="C15" s="21"/>
      <c r="D15" s="21"/>
      <c r="E15" s="21"/>
      <c r="F15" s="21"/>
      <c r="G15" s="21"/>
      <c r="H15" s="21"/>
      <c r="I15" s="21"/>
    </row>
    <row r="16" ht="25" customHeight="1" spans="1:9">
      <c r="A16" s="22" t="s">
        <v>81</v>
      </c>
      <c r="B16" s="23" t="s">
        <v>40</v>
      </c>
      <c r="C16" s="25" t="s">
        <v>82</v>
      </c>
      <c r="D16" s="26"/>
      <c r="E16" s="27" t="s">
        <v>83</v>
      </c>
      <c r="F16" s="28" t="s">
        <v>84</v>
      </c>
      <c r="G16" s="53" t="s">
        <v>85</v>
      </c>
      <c r="H16" s="26" t="s">
        <v>86</v>
      </c>
      <c r="I16" s="45">
        <v>44279</v>
      </c>
    </row>
    <row r="17" ht="25" customHeight="1" spans="1:9">
      <c r="A17" s="22"/>
      <c r="B17" s="23"/>
      <c r="C17" s="30" t="s">
        <v>87</v>
      </c>
      <c r="D17" s="31"/>
      <c r="E17" s="32" t="s">
        <v>88</v>
      </c>
      <c r="F17" s="32"/>
      <c r="G17" s="32"/>
      <c r="H17" s="31" t="s">
        <v>60</v>
      </c>
      <c r="I17" s="46" t="s">
        <v>89</v>
      </c>
    </row>
    <row r="18" ht="25" customHeight="1" spans="1:9">
      <c r="A18" s="22"/>
      <c r="B18" s="23" t="s">
        <v>42</v>
      </c>
      <c r="C18" s="25" t="s">
        <v>82</v>
      </c>
      <c r="D18" s="26"/>
      <c r="E18" s="33" t="s">
        <v>90</v>
      </c>
      <c r="F18" s="33"/>
      <c r="G18" s="33"/>
      <c r="H18" s="26" t="s">
        <v>91</v>
      </c>
      <c r="I18" s="47" t="s">
        <v>65</v>
      </c>
    </row>
    <row r="19" ht="25" customHeight="1" spans="1:9">
      <c r="A19" s="22"/>
      <c r="B19" s="23"/>
      <c r="C19" s="30" t="s">
        <v>92</v>
      </c>
      <c r="D19" s="31"/>
      <c r="E19" s="32" t="s">
        <v>93</v>
      </c>
      <c r="F19" s="32"/>
      <c r="G19" s="32"/>
      <c r="H19" s="31" t="s">
        <v>60</v>
      </c>
      <c r="I19" s="48" t="s">
        <v>94</v>
      </c>
    </row>
    <row r="20" ht="25" customHeight="1" spans="1:9">
      <c r="A20" s="22"/>
      <c r="B20" s="23" t="s">
        <v>95</v>
      </c>
      <c r="C20" s="25" t="s">
        <v>96</v>
      </c>
      <c r="D20" s="26"/>
      <c r="E20" s="33" t="s">
        <v>65</v>
      </c>
      <c r="F20" s="33"/>
      <c r="G20" s="33"/>
      <c r="H20" s="34" t="s">
        <v>97</v>
      </c>
      <c r="I20" s="47" t="s">
        <v>65</v>
      </c>
    </row>
    <row r="21" ht="25" customHeight="1" spans="1:9">
      <c r="A21" s="22"/>
      <c r="B21" s="23"/>
      <c r="C21" s="30" t="s">
        <v>92</v>
      </c>
      <c r="D21" s="31"/>
      <c r="E21" s="32" t="s">
        <v>65</v>
      </c>
      <c r="F21" s="32"/>
      <c r="G21" s="32"/>
      <c r="H21" s="31" t="s">
        <v>60</v>
      </c>
      <c r="I21" s="49" t="s">
        <v>65</v>
      </c>
    </row>
    <row r="22" ht="25" customHeight="1" spans="1:9">
      <c r="A22" s="22"/>
      <c r="B22" s="23" t="s">
        <v>98</v>
      </c>
      <c r="C22" s="25" t="s">
        <v>96</v>
      </c>
      <c r="D22" s="26"/>
      <c r="E22" s="33" t="s">
        <v>65</v>
      </c>
      <c r="F22" s="33"/>
      <c r="G22" s="33"/>
      <c r="H22" s="34" t="s">
        <v>97</v>
      </c>
      <c r="I22" s="47" t="s">
        <v>65</v>
      </c>
    </row>
    <row r="23" ht="25" customHeight="1" spans="1:9">
      <c r="A23" s="22"/>
      <c r="B23" s="23"/>
      <c r="C23" s="30" t="s">
        <v>92</v>
      </c>
      <c r="D23" s="31"/>
      <c r="E23" s="32" t="s">
        <v>65</v>
      </c>
      <c r="F23" s="32"/>
      <c r="G23" s="32"/>
      <c r="H23" s="31" t="s">
        <v>60</v>
      </c>
      <c r="I23" s="49" t="s">
        <v>65</v>
      </c>
    </row>
    <row r="24" ht="25" customHeight="1" spans="1:9">
      <c r="A24" s="22" t="s">
        <v>99</v>
      </c>
      <c r="B24" s="23" t="s">
        <v>100</v>
      </c>
      <c r="C24" s="23"/>
      <c r="D24" s="35" t="s">
        <v>40</v>
      </c>
      <c r="E24" s="36"/>
      <c r="F24" s="35" t="s">
        <v>42</v>
      </c>
      <c r="G24" s="23" t="s">
        <v>95</v>
      </c>
      <c r="H24" s="23" t="s">
        <v>98</v>
      </c>
      <c r="I24" s="23" t="s">
        <v>101</v>
      </c>
    </row>
    <row r="25" ht="25" customHeight="1" spans="1:9">
      <c r="A25" s="22"/>
      <c r="B25" s="23" t="s">
        <v>102</v>
      </c>
      <c r="C25" s="23"/>
      <c r="D25" s="35">
        <v>340</v>
      </c>
      <c r="E25" s="36"/>
      <c r="F25" s="35">
        <v>1560</v>
      </c>
      <c r="G25" s="23" t="s">
        <v>103</v>
      </c>
      <c r="H25" s="23" t="s">
        <v>103</v>
      </c>
      <c r="I25" s="23">
        <v>285</v>
      </c>
    </row>
    <row r="26" ht="25" customHeight="1" spans="1:9">
      <c r="A26" s="22"/>
      <c r="B26" s="23" t="s">
        <v>104</v>
      </c>
      <c r="C26" s="23"/>
      <c r="D26" s="35">
        <v>1</v>
      </c>
      <c r="E26" s="36"/>
      <c r="F26" s="35">
        <v>4.59</v>
      </c>
      <c r="G26" s="23" t="s">
        <v>103</v>
      </c>
      <c r="H26" s="23" t="s">
        <v>103</v>
      </c>
      <c r="I26" s="23">
        <v>0.84</v>
      </c>
    </row>
    <row r="27" ht="44" customHeight="1" spans="1:9">
      <c r="A27" s="37" t="s">
        <v>11</v>
      </c>
      <c r="B27" s="38"/>
      <c r="C27" s="39" t="s">
        <v>105</v>
      </c>
      <c r="D27" s="40"/>
      <c r="E27" s="40"/>
      <c r="F27" s="40"/>
      <c r="G27" s="40"/>
      <c r="H27" s="40"/>
      <c r="I27" s="50"/>
    </row>
    <row r="28" ht="56" customHeight="1" spans="1:9">
      <c r="A28" s="41" t="s">
        <v>106</v>
      </c>
      <c r="B28" s="41"/>
      <c r="C28" s="41"/>
      <c r="D28" s="41"/>
      <c r="E28" s="41"/>
      <c r="F28" s="41"/>
      <c r="G28" s="41"/>
      <c r="H28" s="41"/>
      <c r="I28" s="41"/>
    </row>
    <row r="29" ht="56" customHeight="1" spans="1:9">
      <c r="A29" s="42" t="s">
        <v>107</v>
      </c>
      <c r="B29" s="41"/>
      <c r="C29" s="41"/>
      <c r="D29" s="41"/>
      <c r="E29" s="19" t="s">
        <v>108</v>
      </c>
      <c r="F29" s="41"/>
      <c r="G29" s="41"/>
      <c r="H29" s="41" t="s">
        <v>109</v>
      </c>
      <c r="I29" s="41"/>
    </row>
    <row r="30" customFormat="1" ht="27" customHeight="1" spans="1:14">
      <c r="A30" s="43" t="s">
        <v>110</v>
      </c>
      <c r="B30" s="43"/>
      <c r="C30" s="43"/>
      <c r="D30" s="43"/>
      <c r="E30" s="43"/>
      <c r="F30" s="44"/>
      <c r="G30" s="43" t="s">
        <v>111</v>
      </c>
      <c r="H30" s="43"/>
      <c r="I30" s="43"/>
      <c r="J30" s="44"/>
      <c r="K30" s="44"/>
      <c r="L30" s="44"/>
      <c r="M30" s="44"/>
      <c r="N30" s="44"/>
    </row>
  </sheetData>
  <mergeCells count="55">
    <mergeCell ref="F1:I1"/>
    <mergeCell ref="G2:I2"/>
    <mergeCell ref="G3:I3"/>
    <mergeCell ref="A5:I5"/>
    <mergeCell ref="A6:I6"/>
    <mergeCell ref="A7:B7"/>
    <mergeCell ref="C7:G7"/>
    <mergeCell ref="A8:B8"/>
    <mergeCell ref="C8:I8"/>
    <mergeCell ref="A9:B9"/>
    <mergeCell ref="C9:G9"/>
    <mergeCell ref="A10:B10"/>
    <mergeCell ref="C10:G10"/>
    <mergeCell ref="A11:B11"/>
    <mergeCell ref="C11:G11"/>
    <mergeCell ref="A12:B12"/>
    <mergeCell ref="C12:D12"/>
    <mergeCell ref="F12:G12"/>
    <mergeCell ref="A14:B14"/>
    <mergeCell ref="C14:D14"/>
    <mergeCell ref="F14:G14"/>
    <mergeCell ref="C16:D16"/>
    <mergeCell ref="C17:D17"/>
    <mergeCell ref="E17:G17"/>
    <mergeCell ref="C18:D18"/>
    <mergeCell ref="E18:G18"/>
    <mergeCell ref="C19:D19"/>
    <mergeCell ref="E19:G19"/>
    <mergeCell ref="C20:D20"/>
    <mergeCell ref="E20:G20"/>
    <mergeCell ref="C21:D21"/>
    <mergeCell ref="E21:G21"/>
    <mergeCell ref="C22:D22"/>
    <mergeCell ref="E22:G22"/>
    <mergeCell ref="C23:D23"/>
    <mergeCell ref="E23:G23"/>
    <mergeCell ref="B24:C24"/>
    <mergeCell ref="D24:E24"/>
    <mergeCell ref="B25:C25"/>
    <mergeCell ref="D25:E25"/>
    <mergeCell ref="B26:C26"/>
    <mergeCell ref="D26:E26"/>
    <mergeCell ref="A27:B27"/>
    <mergeCell ref="C27:I27"/>
    <mergeCell ref="A28:I28"/>
    <mergeCell ref="A30:E30"/>
    <mergeCell ref="G30:I30"/>
    <mergeCell ref="A1:A2"/>
    <mergeCell ref="A16:A23"/>
    <mergeCell ref="A24:A26"/>
    <mergeCell ref="B16:B17"/>
    <mergeCell ref="B18:B19"/>
    <mergeCell ref="B20:B21"/>
    <mergeCell ref="B22:B23"/>
    <mergeCell ref="B1:D2"/>
  </mergeCell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EW30"/>
  <sheetViews>
    <sheetView view="pageBreakPreview" zoomScaleNormal="100" workbookViewId="0">
      <selection activeCell="K9" sqref="K9"/>
    </sheetView>
  </sheetViews>
  <sheetFormatPr defaultColWidth="9" defaultRowHeight="13.5"/>
  <cols>
    <col min="1" max="1" width="7.5" style="2" customWidth="1"/>
    <col min="2" max="2" width="9.25" style="2" customWidth="1"/>
    <col min="3" max="3" width="7.5" style="1" customWidth="1"/>
    <col min="4" max="4" width="5.5" style="1" customWidth="1"/>
    <col min="5" max="5" width="9.375" style="1" customWidth="1"/>
    <col min="6" max="6" width="10.125" style="1" customWidth="1"/>
    <col min="7" max="8" width="10.375" style="1" customWidth="1"/>
    <col min="9" max="9" width="16.875" style="1" customWidth="1"/>
    <col min="10" max="16381" width="9" style="1"/>
  </cols>
  <sheetData>
    <row r="1" s="1" customFormat="1" ht="8" customHeight="1" spans="1:16376">
      <c r="A1" s="3"/>
      <c r="B1" s="3"/>
      <c r="C1" s="3"/>
      <c r="D1" s="3"/>
      <c r="E1" s="2"/>
      <c r="F1" s="4"/>
      <c r="G1" s="4"/>
      <c r="H1" s="4"/>
      <c r="I1" s="4"/>
      <c r="XET1"/>
      <c r="XEU1"/>
      <c r="XEV1"/>
    </row>
    <row r="2" s="1" customFormat="1" ht="8" customHeight="1" spans="1:16376">
      <c r="A2" s="3"/>
      <c r="B2" s="3"/>
      <c r="C2" s="3"/>
      <c r="D2" s="3"/>
      <c r="E2" s="2"/>
      <c r="F2" s="5"/>
      <c r="G2" s="6"/>
      <c r="H2" s="6"/>
      <c r="I2" s="6"/>
      <c r="XET2"/>
      <c r="XEU2"/>
      <c r="XEV2"/>
    </row>
    <row r="3" s="1" customFormat="1" ht="8" customHeight="1" spans="1:16376">
      <c r="A3" s="3"/>
      <c r="B3" s="7"/>
      <c r="C3" s="7"/>
      <c r="D3" s="7"/>
      <c r="E3" s="7"/>
      <c r="F3" s="8"/>
      <c r="G3" s="9"/>
      <c r="H3" s="9"/>
      <c r="I3" s="9"/>
      <c r="XET3"/>
      <c r="XEU3"/>
      <c r="XEV3"/>
    </row>
    <row r="4" s="1" customFormat="1" ht="8" customHeight="1" spans="1:16377">
      <c r="A4" s="2"/>
      <c r="F4" s="4"/>
      <c r="G4" s="10"/>
      <c r="H4" s="10"/>
      <c r="I4" s="10"/>
      <c r="XER4"/>
      <c r="XES4"/>
      <c r="XET4"/>
      <c r="XEU4"/>
      <c r="XEV4"/>
      <c r="XEW4"/>
    </row>
    <row r="5" ht="20" customHeight="1" spans="1:9">
      <c r="A5" s="11" t="s">
        <v>56</v>
      </c>
      <c r="B5" s="11"/>
      <c r="C5" s="12"/>
      <c r="D5" s="12"/>
      <c r="E5" s="12"/>
      <c r="F5" s="12"/>
      <c r="G5" s="12"/>
      <c r="H5" s="12"/>
      <c r="I5" s="12"/>
    </row>
    <row r="6" ht="25" customHeight="1" spans="1:9">
      <c r="A6" s="13" t="s">
        <v>57</v>
      </c>
      <c r="B6" s="13"/>
      <c r="C6" s="14"/>
      <c r="D6" s="14"/>
      <c r="E6" s="14"/>
      <c r="F6" s="14"/>
      <c r="G6" s="14"/>
      <c r="H6" s="14"/>
      <c r="I6" s="14"/>
    </row>
    <row r="7" ht="27" customHeight="1" spans="1:9">
      <c r="A7" s="15" t="s">
        <v>58</v>
      </c>
      <c r="B7" s="15"/>
      <c r="C7" s="16" t="s">
        <v>14</v>
      </c>
      <c r="D7" s="16"/>
      <c r="E7" s="16"/>
      <c r="F7" s="16"/>
      <c r="G7" s="16"/>
      <c r="H7" s="17" t="s">
        <v>60</v>
      </c>
      <c r="I7" s="16" t="s">
        <v>113</v>
      </c>
    </row>
    <row r="8" ht="51" customHeight="1" spans="1:9">
      <c r="A8" s="15" t="s">
        <v>62</v>
      </c>
      <c r="B8" s="15"/>
      <c r="C8" s="51" t="s">
        <v>114</v>
      </c>
      <c r="D8" s="51"/>
      <c r="E8" s="51"/>
      <c r="F8" s="51"/>
      <c r="G8" s="51"/>
      <c r="H8" s="51"/>
      <c r="I8" s="51"/>
    </row>
    <row r="9" ht="27" customHeight="1" spans="1:9">
      <c r="A9" s="15" t="s">
        <v>64</v>
      </c>
      <c r="B9" s="15"/>
      <c r="C9" s="16" t="s">
        <v>65</v>
      </c>
      <c r="D9" s="16"/>
      <c r="E9" s="16"/>
      <c r="F9" s="16"/>
      <c r="G9" s="16"/>
      <c r="H9" s="17" t="s">
        <v>66</v>
      </c>
      <c r="I9" s="16" t="s">
        <v>115</v>
      </c>
    </row>
    <row r="10" ht="27" customHeight="1" spans="1:9">
      <c r="A10" s="15" t="s">
        <v>68</v>
      </c>
      <c r="B10" s="15"/>
      <c r="C10" s="16" t="s">
        <v>65</v>
      </c>
      <c r="D10" s="16"/>
      <c r="E10" s="16"/>
      <c r="F10" s="16"/>
      <c r="G10" s="16"/>
      <c r="H10" s="17" t="s">
        <v>69</v>
      </c>
      <c r="I10" s="16" t="s">
        <v>70</v>
      </c>
    </row>
    <row r="11" ht="27" customHeight="1" spans="1:9">
      <c r="A11" s="15" t="s">
        <v>71</v>
      </c>
      <c r="B11" s="15"/>
      <c r="C11" s="16" t="s">
        <v>20</v>
      </c>
      <c r="D11" s="16"/>
      <c r="E11" s="16"/>
      <c r="F11" s="16"/>
      <c r="G11" s="16"/>
      <c r="H11" s="17" t="s">
        <v>72</v>
      </c>
      <c r="I11" s="16" t="s">
        <v>21</v>
      </c>
    </row>
    <row r="12" ht="27" customHeight="1" spans="1:9">
      <c r="A12" s="15" t="s">
        <v>73</v>
      </c>
      <c r="B12" s="15"/>
      <c r="C12" s="18">
        <v>44328</v>
      </c>
      <c r="D12" s="18"/>
      <c r="E12" s="17" t="s">
        <v>74</v>
      </c>
      <c r="F12" s="18">
        <f>F14+28</f>
        <v>44361</v>
      </c>
      <c r="G12" s="18"/>
      <c r="H12" s="17" t="s">
        <v>75</v>
      </c>
      <c r="I12" s="18">
        <f>F12+2</f>
        <v>44363</v>
      </c>
    </row>
    <row r="13" ht="9" customHeight="1" spans="1:9">
      <c r="A13" s="19"/>
      <c r="B13" s="19"/>
      <c r="C13" s="20"/>
      <c r="D13" s="20"/>
      <c r="E13" s="21"/>
      <c r="F13" s="20"/>
      <c r="G13" s="20"/>
      <c r="H13" s="21"/>
      <c r="I13" s="20"/>
    </row>
    <row r="14" ht="20" customHeight="1" spans="1:9">
      <c r="A14" s="22" t="s">
        <v>76</v>
      </c>
      <c r="B14" s="22"/>
      <c r="C14" s="23" t="s">
        <v>116</v>
      </c>
      <c r="D14" s="23"/>
      <c r="E14" s="23" t="s">
        <v>78</v>
      </c>
      <c r="F14" s="24">
        <f>C12+5</f>
        <v>44333</v>
      </c>
      <c r="G14" s="24"/>
      <c r="H14" s="23" t="s">
        <v>79</v>
      </c>
      <c r="I14" s="23" t="s">
        <v>80</v>
      </c>
    </row>
    <row r="15" ht="8" customHeight="1" spans="1:9">
      <c r="A15" s="19"/>
      <c r="B15" s="19"/>
      <c r="C15" s="21"/>
      <c r="D15" s="21"/>
      <c r="E15" s="21"/>
      <c r="F15" s="21"/>
      <c r="G15" s="21"/>
      <c r="H15" s="21"/>
      <c r="I15" s="21"/>
    </row>
    <row r="16" ht="25" customHeight="1" spans="1:9">
      <c r="A16" s="22" t="s">
        <v>81</v>
      </c>
      <c r="B16" s="23" t="s">
        <v>40</v>
      </c>
      <c r="C16" s="25" t="s">
        <v>82</v>
      </c>
      <c r="D16" s="26"/>
      <c r="E16" s="52" t="s">
        <v>117</v>
      </c>
      <c r="F16" s="28" t="s">
        <v>84</v>
      </c>
      <c r="G16" s="53" t="s">
        <v>118</v>
      </c>
      <c r="H16" s="26" t="s">
        <v>86</v>
      </c>
      <c r="I16" s="45">
        <v>44328</v>
      </c>
    </row>
    <row r="17" ht="25" customHeight="1" spans="1:9">
      <c r="A17" s="22"/>
      <c r="B17" s="23"/>
      <c r="C17" s="30" t="s">
        <v>87</v>
      </c>
      <c r="D17" s="31"/>
      <c r="E17" s="32" t="s">
        <v>119</v>
      </c>
      <c r="F17" s="32"/>
      <c r="G17" s="32"/>
      <c r="H17" s="31" t="s">
        <v>60</v>
      </c>
      <c r="I17" s="46" t="s">
        <v>120</v>
      </c>
    </row>
    <row r="18" ht="25" customHeight="1" spans="1:9">
      <c r="A18" s="22"/>
      <c r="B18" s="23" t="s">
        <v>42</v>
      </c>
      <c r="C18" s="25" t="s">
        <v>82</v>
      </c>
      <c r="D18" s="26"/>
      <c r="E18" s="33" t="s">
        <v>90</v>
      </c>
      <c r="F18" s="33"/>
      <c r="G18" s="33"/>
      <c r="H18" s="26" t="s">
        <v>91</v>
      </c>
      <c r="I18" s="47" t="s">
        <v>65</v>
      </c>
    </row>
    <row r="19" ht="25" customHeight="1" spans="1:9">
      <c r="A19" s="22"/>
      <c r="B19" s="23"/>
      <c r="C19" s="30" t="s">
        <v>92</v>
      </c>
      <c r="D19" s="31"/>
      <c r="E19" s="32" t="s">
        <v>121</v>
      </c>
      <c r="F19" s="32"/>
      <c r="G19" s="32"/>
      <c r="H19" s="31" t="s">
        <v>60</v>
      </c>
      <c r="I19" s="48" t="s">
        <v>122</v>
      </c>
    </row>
    <row r="20" ht="25" customHeight="1" spans="1:9">
      <c r="A20" s="22"/>
      <c r="B20" s="23" t="s">
        <v>95</v>
      </c>
      <c r="C20" s="25" t="s">
        <v>96</v>
      </c>
      <c r="D20" s="26"/>
      <c r="E20" s="33" t="s">
        <v>65</v>
      </c>
      <c r="F20" s="33"/>
      <c r="G20" s="33"/>
      <c r="H20" s="34" t="s">
        <v>97</v>
      </c>
      <c r="I20" s="47" t="s">
        <v>65</v>
      </c>
    </row>
    <row r="21" ht="25" customHeight="1" spans="1:9">
      <c r="A21" s="22"/>
      <c r="B21" s="23"/>
      <c r="C21" s="30" t="s">
        <v>92</v>
      </c>
      <c r="D21" s="31"/>
      <c r="E21" s="32" t="s">
        <v>65</v>
      </c>
      <c r="F21" s="32"/>
      <c r="G21" s="32"/>
      <c r="H21" s="31" t="s">
        <v>60</v>
      </c>
      <c r="I21" s="49" t="s">
        <v>65</v>
      </c>
    </row>
    <row r="22" ht="25" customHeight="1" spans="1:9">
      <c r="A22" s="22"/>
      <c r="B22" s="23" t="s">
        <v>98</v>
      </c>
      <c r="C22" s="25" t="s">
        <v>96</v>
      </c>
      <c r="D22" s="26"/>
      <c r="E22" s="33" t="s">
        <v>65</v>
      </c>
      <c r="F22" s="33"/>
      <c r="G22" s="33"/>
      <c r="H22" s="34" t="s">
        <v>97</v>
      </c>
      <c r="I22" s="47" t="s">
        <v>65</v>
      </c>
    </row>
    <row r="23" ht="25" customHeight="1" spans="1:9">
      <c r="A23" s="22"/>
      <c r="B23" s="23"/>
      <c r="C23" s="30" t="s">
        <v>92</v>
      </c>
      <c r="D23" s="31"/>
      <c r="E23" s="32" t="s">
        <v>65</v>
      </c>
      <c r="F23" s="32"/>
      <c r="G23" s="32"/>
      <c r="H23" s="31" t="s">
        <v>60</v>
      </c>
      <c r="I23" s="49" t="s">
        <v>65</v>
      </c>
    </row>
    <row r="24" ht="25" customHeight="1" spans="1:9">
      <c r="A24" s="22" t="s">
        <v>99</v>
      </c>
      <c r="B24" s="23" t="s">
        <v>100</v>
      </c>
      <c r="C24" s="23"/>
      <c r="D24" s="35" t="s">
        <v>40</v>
      </c>
      <c r="E24" s="36"/>
      <c r="F24" s="35" t="s">
        <v>42</v>
      </c>
      <c r="G24" s="23" t="s">
        <v>95</v>
      </c>
      <c r="H24" s="23" t="s">
        <v>98</v>
      </c>
      <c r="I24" s="23" t="s">
        <v>101</v>
      </c>
    </row>
    <row r="25" ht="25" customHeight="1" spans="1:9">
      <c r="A25" s="22"/>
      <c r="B25" s="23" t="s">
        <v>102</v>
      </c>
      <c r="C25" s="23"/>
      <c r="D25" s="35">
        <v>390</v>
      </c>
      <c r="E25" s="36"/>
      <c r="F25" s="35">
        <v>1560</v>
      </c>
      <c r="G25" s="23" t="s">
        <v>103</v>
      </c>
      <c r="H25" s="23" t="s">
        <v>103</v>
      </c>
      <c r="I25" s="23">
        <v>285</v>
      </c>
    </row>
    <row r="26" ht="25" customHeight="1" spans="1:9">
      <c r="A26" s="22"/>
      <c r="B26" s="23" t="s">
        <v>104</v>
      </c>
      <c r="C26" s="23"/>
      <c r="D26" s="35">
        <v>1</v>
      </c>
      <c r="E26" s="36"/>
      <c r="F26" s="35">
        <v>4</v>
      </c>
      <c r="G26" s="23" t="s">
        <v>103</v>
      </c>
      <c r="H26" s="23" t="s">
        <v>103</v>
      </c>
      <c r="I26" s="23">
        <v>0.73</v>
      </c>
    </row>
    <row r="27" ht="44" customHeight="1" spans="1:9">
      <c r="A27" s="37" t="s">
        <v>11</v>
      </c>
      <c r="B27" s="38"/>
      <c r="C27" s="39" t="s">
        <v>105</v>
      </c>
      <c r="D27" s="40"/>
      <c r="E27" s="40"/>
      <c r="F27" s="40"/>
      <c r="G27" s="40"/>
      <c r="H27" s="40"/>
      <c r="I27" s="50"/>
    </row>
    <row r="28" ht="56" customHeight="1" spans="1:9">
      <c r="A28" s="41" t="s">
        <v>106</v>
      </c>
      <c r="B28" s="41"/>
      <c r="C28" s="41"/>
      <c r="D28" s="41"/>
      <c r="E28" s="41"/>
      <c r="F28" s="41"/>
      <c r="G28" s="41"/>
      <c r="H28" s="41"/>
      <c r="I28" s="41"/>
    </row>
    <row r="29" ht="56" customHeight="1" spans="1:9">
      <c r="A29" s="42" t="s">
        <v>107</v>
      </c>
      <c r="B29" s="41"/>
      <c r="C29" s="41"/>
      <c r="D29" s="41"/>
      <c r="E29" s="19" t="s">
        <v>108</v>
      </c>
      <c r="F29" s="41"/>
      <c r="G29" s="41"/>
      <c r="H29" s="41" t="s">
        <v>109</v>
      </c>
      <c r="I29" s="41"/>
    </row>
    <row r="30" customFormat="1" ht="27" customHeight="1" spans="1:14">
      <c r="A30" s="43" t="s">
        <v>110</v>
      </c>
      <c r="B30" s="43"/>
      <c r="C30" s="43"/>
      <c r="D30" s="43"/>
      <c r="E30" s="43"/>
      <c r="F30" s="44"/>
      <c r="G30" s="43" t="s">
        <v>111</v>
      </c>
      <c r="H30" s="43"/>
      <c r="I30" s="43"/>
      <c r="J30" s="44"/>
      <c r="K30" s="44"/>
      <c r="L30" s="44"/>
      <c r="M30" s="44"/>
      <c r="N30" s="44"/>
    </row>
  </sheetData>
  <mergeCells count="55">
    <mergeCell ref="F1:I1"/>
    <mergeCell ref="G2:I2"/>
    <mergeCell ref="G3:I3"/>
    <mergeCell ref="A5:I5"/>
    <mergeCell ref="A6:I6"/>
    <mergeCell ref="A7:B7"/>
    <mergeCell ref="C7:G7"/>
    <mergeCell ref="A8:B8"/>
    <mergeCell ref="C8:I8"/>
    <mergeCell ref="A9:B9"/>
    <mergeCell ref="C9:G9"/>
    <mergeCell ref="A10:B10"/>
    <mergeCell ref="C10:G10"/>
    <mergeCell ref="A11:B11"/>
    <mergeCell ref="C11:G11"/>
    <mergeCell ref="A12:B12"/>
    <mergeCell ref="C12:D12"/>
    <mergeCell ref="F12:G12"/>
    <mergeCell ref="A14:B14"/>
    <mergeCell ref="C14:D14"/>
    <mergeCell ref="F14:G14"/>
    <mergeCell ref="C16:D16"/>
    <mergeCell ref="C17:D17"/>
    <mergeCell ref="E17:G17"/>
    <mergeCell ref="C18:D18"/>
    <mergeCell ref="E18:G18"/>
    <mergeCell ref="C19:D19"/>
    <mergeCell ref="E19:G19"/>
    <mergeCell ref="C20:D20"/>
    <mergeCell ref="E20:G20"/>
    <mergeCell ref="C21:D21"/>
    <mergeCell ref="E21:G21"/>
    <mergeCell ref="C22:D22"/>
    <mergeCell ref="E22:G22"/>
    <mergeCell ref="C23:D23"/>
    <mergeCell ref="E23:G23"/>
    <mergeCell ref="B24:C24"/>
    <mergeCell ref="D24:E24"/>
    <mergeCell ref="B25:C25"/>
    <mergeCell ref="D25:E25"/>
    <mergeCell ref="B26:C26"/>
    <mergeCell ref="D26:E26"/>
    <mergeCell ref="A27:B27"/>
    <mergeCell ref="C27:I27"/>
    <mergeCell ref="A28:I28"/>
    <mergeCell ref="A30:E30"/>
    <mergeCell ref="G30:I30"/>
    <mergeCell ref="A1:A2"/>
    <mergeCell ref="A16:A23"/>
    <mergeCell ref="A24:A26"/>
    <mergeCell ref="B16:B17"/>
    <mergeCell ref="B18:B19"/>
    <mergeCell ref="B20:B21"/>
    <mergeCell ref="B22:B23"/>
    <mergeCell ref="B1:D2"/>
  </mergeCell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XEW30"/>
  <sheetViews>
    <sheetView tabSelected="1" view="pageBreakPreview" zoomScaleNormal="100" workbookViewId="0">
      <selection activeCell="L9" sqref="L9"/>
    </sheetView>
  </sheetViews>
  <sheetFormatPr defaultColWidth="9" defaultRowHeight="13.5"/>
  <cols>
    <col min="1" max="1" width="7.5" style="2" customWidth="1"/>
    <col min="2" max="2" width="9.25" style="2" customWidth="1"/>
    <col min="3" max="3" width="7.5" style="1" customWidth="1"/>
    <col min="4" max="4" width="5.5" style="1" customWidth="1"/>
    <col min="5" max="5" width="9.375" style="1" customWidth="1"/>
    <col min="6" max="6" width="10.125" style="1" customWidth="1"/>
    <col min="7" max="8" width="10.375" style="1" customWidth="1"/>
    <col min="9" max="9" width="16.875" style="1" customWidth="1"/>
    <col min="10" max="16381" width="9" style="1"/>
  </cols>
  <sheetData>
    <row r="1" s="1" customFormat="1" ht="8" customHeight="1" spans="1:16376">
      <c r="A1" s="3"/>
      <c r="B1" s="3"/>
      <c r="C1" s="3"/>
      <c r="D1" s="3"/>
      <c r="E1" s="2"/>
      <c r="F1" s="4"/>
      <c r="G1" s="4"/>
      <c r="H1" s="4"/>
      <c r="I1" s="4"/>
      <c r="XET1"/>
      <c r="XEU1"/>
      <c r="XEV1"/>
    </row>
    <row r="2" s="1" customFormat="1" ht="8" customHeight="1" spans="1:16376">
      <c r="A2" s="3"/>
      <c r="B2" s="3"/>
      <c r="C2" s="3"/>
      <c r="D2" s="3"/>
      <c r="E2" s="2"/>
      <c r="F2" s="5"/>
      <c r="G2" s="6"/>
      <c r="H2" s="6"/>
      <c r="I2" s="6"/>
      <c r="XET2"/>
      <c r="XEU2"/>
      <c r="XEV2"/>
    </row>
    <row r="3" s="1" customFormat="1" ht="8" customHeight="1" spans="1:16376">
      <c r="A3" s="3"/>
      <c r="B3" s="7"/>
      <c r="C3" s="7"/>
      <c r="D3" s="7"/>
      <c r="E3" s="7"/>
      <c r="F3" s="8"/>
      <c r="G3" s="9"/>
      <c r="H3" s="9"/>
      <c r="I3" s="9"/>
      <c r="XET3"/>
      <c r="XEU3"/>
      <c r="XEV3"/>
    </row>
    <row r="4" s="1" customFormat="1" ht="8" customHeight="1" spans="1:16377">
      <c r="A4" s="2"/>
      <c r="F4" s="4"/>
      <c r="G4" s="10"/>
      <c r="H4" s="10"/>
      <c r="I4" s="10"/>
      <c r="XER4"/>
      <c r="XES4"/>
      <c r="XET4"/>
      <c r="XEU4"/>
      <c r="XEV4"/>
      <c r="XEW4"/>
    </row>
    <row r="5" ht="20" customHeight="1" spans="1:9">
      <c r="A5" s="11" t="s">
        <v>56</v>
      </c>
      <c r="B5" s="11"/>
      <c r="C5" s="12"/>
      <c r="D5" s="12"/>
      <c r="E5" s="12"/>
      <c r="F5" s="12"/>
      <c r="G5" s="12"/>
      <c r="H5" s="12"/>
      <c r="I5" s="12"/>
    </row>
    <row r="6" ht="25" customHeight="1" spans="1:9">
      <c r="A6" s="13" t="s">
        <v>57</v>
      </c>
      <c r="B6" s="13"/>
      <c r="C6" s="14"/>
      <c r="D6" s="14"/>
      <c r="E6" s="14"/>
      <c r="F6" s="14"/>
      <c r="G6" s="14"/>
      <c r="H6" s="14"/>
      <c r="I6" s="14"/>
    </row>
    <row r="7" ht="27" customHeight="1" spans="1:9">
      <c r="A7" s="15" t="s">
        <v>58</v>
      </c>
      <c r="B7" s="15"/>
      <c r="C7" s="16" t="s">
        <v>123</v>
      </c>
      <c r="D7" s="16"/>
      <c r="E7" s="16"/>
      <c r="F7" s="16"/>
      <c r="G7" s="16"/>
      <c r="H7" s="17" t="s">
        <v>60</v>
      </c>
      <c r="I7" s="16" t="s">
        <v>113</v>
      </c>
    </row>
    <row r="8" ht="27" customHeight="1" spans="1:9">
      <c r="A8" s="15" t="s">
        <v>62</v>
      </c>
      <c r="B8" s="15"/>
      <c r="C8" s="16" t="s">
        <v>124</v>
      </c>
      <c r="D8" s="16"/>
      <c r="E8" s="16"/>
      <c r="F8" s="16"/>
      <c r="G8" s="16"/>
      <c r="H8" s="16"/>
      <c r="I8" s="16"/>
    </row>
    <row r="9" ht="27" customHeight="1" spans="1:9">
      <c r="A9" s="15" t="s">
        <v>64</v>
      </c>
      <c r="B9" s="15"/>
      <c r="C9" s="16" t="s">
        <v>65</v>
      </c>
      <c r="D9" s="16"/>
      <c r="E9" s="16"/>
      <c r="F9" s="16"/>
      <c r="G9" s="16"/>
      <c r="H9" s="17" t="s">
        <v>66</v>
      </c>
      <c r="I9" s="16" t="s">
        <v>115</v>
      </c>
    </row>
    <row r="10" ht="27" customHeight="1" spans="1:9">
      <c r="A10" s="15" t="s">
        <v>68</v>
      </c>
      <c r="B10" s="15"/>
      <c r="C10" s="16" t="s">
        <v>65</v>
      </c>
      <c r="D10" s="16"/>
      <c r="E10" s="16"/>
      <c r="F10" s="16"/>
      <c r="G10" s="16"/>
      <c r="H10" s="17" t="s">
        <v>69</v>
      </c>
      <c r="I10" s="16" t="s">
        <v>70</v>
      </c>
    </row>
    <row r="11" ht="27" customHeight="1" spans="1:9">
      <c r="A11" s="15" t="s">
        <v>71</v>
      </c>
      <c r="B11" s="15"/>
      <c r="C11" s="16" t="s">
        <v>125</v>
      </c>
      <c r="D11" s="16"/>
      <c r="E11" s="16"/>
      <c r="F11" s="16"/>
      <c r="G11" s="16"/>
      <c r="H11" s="17" t="s">
        <v>72</v>
      </c>
      <c r="I11" s="16" t="s">
        <v>126</v>
      </c>
    </row>
    <row r="12" ht="27" customHeight="1" spans="1:9">
      <c r="A12" s="15" t="s">
        <v>73</v>
      </c>
      <c r="B12" s="15"/>
      <c r="C12" s="18">
        <v>44317</v>
      </c>
      <c r="D12" s="18"/>
      <c r="E12" s="17" t="s">
        <v>74</v>
      </c>
      <c r="F12" s="18">
        <f>F14+28</f>
        <v>44350</v>
      </c>
      <c r="G12" s="18"/>
      <c r="H12" s="17" t="s">
        <v>75</v>
      </c>
      <c r="I12" s="18">
        <f>F12+2</f>
        <v>44352</v>
      </c>
    </row>
    <row r="13" ht="9" customHeight="1" spans="1:9">
      <c r="A13" s="19"/>
      <c r="B13" s="19"/>
      <c r="C13" s="20"/>
      <c r="D13" s="20"/>
      <c r="E13" s="21"/>
      <c r="F13" s="20"/>
      <c r="G13" s="20"/>
      <c r="H13" s="21"/>
      <c r="I13" s="20"/>
    </row>
    <row r="14" ht="20" customHeight="1" spans="1:9">
      <c r="A14" s="22" t="s">
        <v>76</v>
      </c>
      <c r="B14" s="22"/>
      <c r="C14" s="23" t="s">
        <v>127</v>
      </c>
      <c r="D14" s="23"/>
      <c r="E14" s="23" t="s">
        <v>78</v>
      </c>
      <c r="F14" s="24">
        <f>C12+5</f>
        <v>44322</v>
      </c>
      <c r="G14" s="24"/>
      <c r="H14" s="23" t="s">
        <v>79</v>
      </c>
      <c r="I14" s="23" t="s">
        <v>80</v>
      </c>
    </row>
    <row r="15" ht="8" customHeight="1" spans="1:9">
      <c r="A15" s="19"/>
      <c r="B15" s="19"/>
      <c r="C15" s="21"/>
      <c r="D15" s="21"/>
      <c r="E15" s="21"/>
      <c r="F15" s="21"/>
      <c r="G15" s="21"/>
      <c r="H15" s="21"/>
      <c r="I15" s="21"/>
    </row>
    <row r="16" ht="25" customHeight="1" spans="1:9">
      <c r="A16" s="22" t="s">
        <v>81</v>
      </c>
      <c r="B16" s="23" t="s">
        <v>40</v>
      </c>
      <c r="C16" s="25" t="s">
        <v>82</v>
      </c>
      <c r="D16" s="26"/>
      <c r="E16" s="27" t="s">
        <v>83</v>
      </c>
      <c r="F16" s="28" t="s">
        <v>84</v>
      </c>
      <c r="G16" s="29" t="s">
        <v>128</v>
      </c>
      <c r="H16" s="26" t="s">
        <v>86</v>
      </c>
      <c r="I16" s="45">
        <v>44302</v>
      </c>
    </row>
    <row r="17" ht="25" customHeight="1" spans="1:9">
      <c r="A17" s="22"/>
      <c r="B17" s="23"/>
      <c r="C17" s="30" t="s">
        <v>87</v>
      </c>
      <c r="D17" s="31"/>
      <c r="E17" s="32" t="s">
        <v>88</v>
      </c>
      <c r="F17" s="32"/>
      <c r="G17" s="32"/>
      <c r="H17" s="31" t="s">
        <v>60</v>
      </c>
      <c r="I17" s="46" t="s">
        <v>129</v>
      </c>
    </row>
    <row r="18" ht="25" customHeight="1" spans="1:9">
      <c r="A18" s="22"/>
      <c r="B18" s="23" t="s">
        <v>42</v>
      </c>
      <c r="C18" s="25" t="s">
        <v>82</v>
      </c>
      <c r="D18" s="26"/>
      <c r="E18" s="33" t="s">
        <v>90</v>
      </c>
      <c r="F18" s="33"/>
      <c r="G18" s="33"/>
      <c r="H18" s="26" t="s">
        <v>91</v>
      </c>
      <c r="I18" s="47" t="s">
        <v>65</v>
      </c>
    </row>
    <row r="19" ht="25" customHeight="1" spans="1:9">
      <c r="A19" s="22"/>
      <c r="B19" s="23"/>
      <c r="C19" s="30" t="s">
        <v>92</v>
      </c>
      <c r="D19" s="31"/>
      <c r="E19" s="32" t="s">
        <v>130</v>
      </c>
      <c r="F19" s="32"/>
      <c r="G19" s="32"/>
      <c r="H19" s="31" t="s">
        <v>60</v>
      </c>
      <c r="I19" s="48" t="s">
        <v>122</v>
      </c>
    </row>
    <row r="20" ht="25" customHeight="1" spans="1:9">
      <c r="A20" s="22"/>
      <c r="B20" s="23" t="s">
        <v>95</v>
      </c>
      <c r="C20" s="25" t="s">
        <v>96</v>
      </c>
      <c r="D20" s="26"/>
      <c r="E20" s="33" t="s">
        <v>65</v>
      </c>
      <c r="F20" s="33"/>
      <c r="G20" s="33"/>
      <c r="H20" s="34" t="s">
        <v>97</v>
      </c>
      <c r="I20" s="47" t="s">
        <v>65</v>
      </c>
    </row>
    <row r="21" ht="25" customHeight="1" spans="1:9">
      <c r="A21" s="22"/>
      <c r="B21" s="23"/>
      <c r="C21" s="30" t="s">
        <v>92</v>
      </c>
      <c r="D21" s="31"/>
      <c r="E21" s="32" t="s">
        <v>65</v>
      </c>
      <c r="F21" s="32"/>
      <c r="G21" s="32"/>
      <c r="H21" s="31" t="s">
        <v>60</v>
      </c>
      <c r="I21" s="49" t="s">
        <v>65</v>
      </c>
    </row>
    <row r="22" ht="25" customHeight="1" spans="1:9">
      <c r="A22" s="22"/>
      <c r="B22" s="23" t="s">
        <v>98</v>
      </c>
      <c r="C22" s="25" t="s">
        <v>96</v>
      </c>
      <c r="D22" s="26"/>
      <c r="E22" s="33" t="s">
        <v>65</v>
      </c>
      <c r="F22" s="33"/>
      <c r="G22" s="33"/>
      <c r="H22" s="34" t="s">
        <v>97</v>
      </c>
      <c r="I22" s="47" t="s">
        <v>65</v>
      </c>
    </row>
    <row r="23" ht="25" customHeight="1" spans="1:9">
      <c r="A23" s="22"/>
      <c r="B23" s="23"/>
      <c r="C23" s="30" t="s">
        <v>92</v>
      </c>
      <c r="D23" s="31"/>
      <c r="E23" s="32" t="s">
        <v>65</v>
      </c>
      <c r="F23" s="32"/>
      <c r="G23" s="32"/>
      <c r="H23" s="31" t="s">
        <v>60</v>
      </c>
      <c r="I23" s="49" t="s">
        <v>65</v>
      </c>
    </row>
    <row r="24" ht="25" customHeight="1" spans="1:9">
      <c r="A24" s="22" t="s">
        <v>99</v>
      </c>
      <c r="B24" s="23" t="s">
        <v>100</v>
      </c>
      <c r="C24" s="23"/>
      <c r="D24" s="35" t="s">
        <v>40</v>
      </c>
      <c r="E24" s="36"/>
      <c r="F24" s="35" t="s">
        <v>42</v>
      </c>
      <c r="G24" s="23" t="s">
        <v>95</v>
      </c>
      <c r="H24" s="23" t="s">
        <v>98</v>
      </c>
      <c r="I24" s="23" t="s">
        <v>101</v>
      </c>
    </row>
    <row r="25" ht="25" customHeight="1" spans="1:9">
      <c r="A25" s="22"/>
      <c r="B25" s="23" t="s">
        <v>102</v>
      </c>
      <c r="C25" s="23"/>
      <c r="D25" s="35">
        <v>390</v>
      </c>
      <c r="E25" s="36"/>
      <c r="F25" s="35">
        <v>1560</v>
      </c>
      <c r="G25" s="23" t="s">
        <v>103</v>
      </c>
      <c r="H25" s="23" t="s">
        <v>103</v>
      </c>
      <c r="I25" s="23">
        <v>285</v>
      </c>
    </row>
    <row r="26" ht="25" customHeight="1" spans="1:9">
      <c r="A26" s="22"/>
      <c r="B26" s="23" t="s">
        <v>104</v>
      </c>
      <c r="C26" s="23"/>
      <c r="D26" s="35">
        <v>1</v>
      </c>
      <c r="E26" s="36"/>
      <c r="F26" s="35">
        <v>4</v>
      </c>
      <c r="G26" s="23" t="s">
        <v>103</v>
      </c>
      <c r="H26" s="23" t="s">
        <v>103</v>
      </c>
      <c r="I26" s="23">
        <v>0.73</v>
      </c>
    </row>
    <row r="27" ht="44" customHeight="1" spans="1:9">
      <c r="A27" s="37" t="s">
        <v>11</v>
      </c>
      <c r="B27" s="38"/>
      <c r="C27" s="39" t="s">
        <v>105</v>
      </c>
      <c r="D27" s="40"/>
      <c r="E27" s="40"/>
      <c r="F27" s="40"/>
      <c r="G27" s="40"/>
      <c r="H27" s="40"/>
      <c r="I27" s="50"/>
    </row>
    <row r="28" ht="56" customHeight="1" spans="1:9">
      <c r="A28" s="41" t="s">
        <v>106</v>
      </c>
      <c r="B28" s="41"/>
      <c r="C28" s="41"/>
      <c r="D28" s="41"/>
      <c r="E28" s="41"/>
      <c r="F28" s="41"/>
      <c r="G28" s="41"/>
      <c r="H28" s="41"/>
      <c r="I28" s="41"/>
    </row>
    <row r="29" ht="56" customHeight="1" spans="1:9">
      <c r="A29" s="42" t="s">
        <v>107</v>
      </c>
      <c r="B29" s="41"/>
      <c r="C29" s="41"/>
      <c r="D29" s="41"/>
      <c r="E29" s="19" t="s">
        <v>108</v>
      </c>
      <c r="F29" s="41"/>
      <c r="G29" s="41"/>
      <c r="H29" s="41" t="s">
        <v>109</v>
      </c>
      <c r="I29" s="41"/>
    </row>
    <row r="30" customFormat="1" ht="27" customHeight="1" spans="1:14">
      <c r="A30" s="43" t="s">
        <v>110</v>
      </c>
      <c r="B30" s="43"/>
      <c r="C30" s="43"/>
      <c r="D30" s="43"/>
      <c r="E30" s="43"/>
      <c r="F30" s="44"/>
      <c r="G30" s="43" t="s">
        <v>111</v>
      </c>
      <c r="H30" s="43"/>
      <c r="I30" s="43"/>
      <c r="J30" s="44"/>
      <c r="K30" s="44"/>
      <c r="L30" s="44"/>
      <c r="M30" s="44"/>
      <c r="N30" s="44"/>
    </row>
  </sheetData>
  <mergeCells count="55">
    <mergeCell ref="F1:I1"/>
    <mergeCell ref="G2:I2"/>
    <mergeCell ref="G3:I3"/>
    <mergeCell ref="A5:I5"/>
    <mergeCell ref="A6:I6"/>
    <mergeCell ref="A7:B7"/>
    <mergeCell ref="C7:G7"/>
    <mergeCell ref="A8:B8"/>
    <mergeCell ref="C8:I8"/>
    <mergeCell ref="A9:B9"/>
    <mergeCell ref="C9:G9"/>
    <mergeCell ref="A10:B10"/>
    <mergeCell ref="C10:G10"/>
    <mergeCell ref="A11:B11"/>
    <mergeCell ref="C11:G11"/>
    <mergeCell ref="A12:B12"/>
    <mergeCell ref="C12:D12"/>
    <mergeCell ref="F12:G12"/>
    <mergeCell ref="A14:B14"/>
    <mergeCell ref="C14:D14"/>
    <mergeCell ref="F14:G14"/>
    <mergeCell ref="C16:D16"/>
    <mergeCell ref="C17:D17"/>
    <mergeCell ref="E17:G17"/>
    <mergeCell ref="C18:D18"/>
    <mergeCell ref="E18:G18"/>
    <mergeCell ref="C19:D19"/>
    <mergeCell ref="E19:G19"/>
    <mergeCell ref="C20:D20"/>
    <mergeCell ref="E20:G20"/>
    <mergeCell ref="C21:D21"/>
    <mergeCell ref="E21:G21"/>
    <mergeCell ref="C22:D22"/>
    <mergeCell ref="E22:G22"/>
    <mergeCell ref="C23:D23"/>
    <mergeCell ref="E23:G23"/>
    <mergeCell ref="B24:C24"/>
    <mergeCell ref="D24:E24"/>
    <mergeCell ref="B25:C25"/>
    <mergeCell ref="D25:E25"/>
    <mergeCell ref="B26:C26"/>
    <mergeCell ref="D26:E26"/>
    <mergeCell ref="A27:B27"/>
    <mergeCell ref="C27:I27"/>
    <mergeCell ref="A28:I28"/>
    <mergeCell ref="A30:E30"/>
    <mergeCell ref="G30:I30"/>
    <mergeCell ref="A1:A2"/>
    <mergeCell ref="A16:A23"/>
    <mergeCell ref="A24:A26"/>
    <mergeCell ref="B16:B17"/>
    <mergeCell ref="B18:B19"/>
    <mergeCell ref="B20:B21"/>
    <mergeCell ref="B22:B23"/>
    <mergeCell ref="B1:D2"/>
  </mergeCell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XEW30"/>
  <sheetViews>
    <sheetView view="pageBreakPreview" zoomScaleNormal="100" workbookViewId="0">
      <selection activeCell="C21" sqref="C21:D21"/>
    </sheetView>
  </sheetViews>
  <sheetFormatPr defaultColWidth="9" defaultRowHeight="13.5"/>
  <cols>
    <col min="1" max="1" width="7.5" style="2" customWidth="1"/>
    <col min="2" max="2" width="9.25" style="2" customWidth="1"/>
    <col min="3" max="3" width="7.5" style="1" customWidth="1"/>
    <col min="4" max="4" width="5.5" style="1" customWidth="1"/>
    <col min="5" max="5" width="9.375" style="1" customWidth="1"/>
    <col min="6" max="6" width="10.125" style="1" customWidth="1"/>
    <col min="7" max="8" width="10.375" style="1" customWidth="1"/>
    <col min="9" max="9" width="16.875" style="1" customWidth="1"/>
    <col min="10" max="16381" width="9" style="1"/>
  </cols>
  <sheetData>
    <row r="1" s="1" customFormat="1" ht="8" customHeight="1" spans="1:16376">
      <c r="A1" s="3"/>
      <c r="B1" s="3"/>
      <c r="C1" s="3"/>
      <c r="D1" s="3"/>
      <c r="E1" s="2"/>
      <c r="F1" s="4"/>
      <c r="G1" s="4"/>
      <c r="H1" s="4"/>
      <c r="I1" s="4"/>
      <c r="XET1"/>
      <c r="XEU1"/>
      <c r="XEV1"/>
    </row>
    <row r="2" s="1" customFormat="1" ht="8" customHeight="1" spans="1:16376">
      <c r="A2" s="3"/>
      <c r="B2" s="3"/>
      <c r="C2" s="3"/>
      <c r="D2" s="3"/>
      <c r="E2" s="2"/>
      <c r="F2" s="5"/>
      <c r="G2" s="6"/>
      <c r="H2" s="6"/>
      <c r="I2" s="6"/>
      <c r="XET2"/>
      <c r="XEU2"/>
      <c r="XEV2"/>
    </row>
    <row r="3" s="1" customFormat="1" ht="8" customHeight="1" spans="1:16376">
      <c r="A3" s="3"/>
      <c r="B3" s="7"/>
      <c r="C3" s="7"/>
      <c r="D3" s="7"/>
      <c r="E3" s="7"/>
      <c r="F3" s="8"/>
      <c r="G3" s="9"/>
      <c r="H3" s="9"/>
      <c r="I3" s="9"/>
      <c r="XET3"/>
      <c r="XEU3"/>
      <c r="XEV3"/>
    </row>
    <row r="4" s="1" customFormat="1" ht="8" customHeight="1" spans="1:16377">
      <c r="A4" s="2"/>
      <c r="F4" s="4"/>
      <c r="G4" s="10"/>
      <c r="H4" s="10"/>
      <c r="I4" s="10"/>
      <c r="XER4"/>
      <c r="XES4"/>
      <c r="XET4"/>
      <c r="XEU4"/>
      <c r="XEV4"/>
      <c r="XEW4"/>
    </row>
    <row r="5" ht="20" customHeight="1" spans="1:9">
      <c r="A5" s="11" t="s">
        <v>56</v>
      </c>
      <c r="B5" s="11"/>
      <c r="C5" s="12"/>
      <c r="D5" s="12"/>
      <c r="E5" s="12"/>
      <c r="F5" s="12"/>
      <c r="G5" s="12"/>
      <c r="H5" s="12"/>
      <c r="I5" s="12"/>
    </row>
    <row r="6" ht="25" customHeight="1" spans="1:9">
      <c r="A6" s="13" t="s">
        <v>57</v>
      </c>
      <c r="B6" s="13"/>
      <c r="C6" s="14"/>
      <c r="D6" s="14"/>
      <c r="E6" s="14"/>
      <c r="F6" s="14"/>
      <c r="G6" s="14"/>
      <c r="H6" s="14"/>
      <c r="I6" s="14"/>
    </row>
    <row r="7" ht="27" customHeight="1" spans="1:9">
      <c r="A7" s="15" t="s">
        <v>58</v>
      </c>
      <c r="B7" s="15"/>
      <c r="C7" s="16" t="s">
        <v>123</v>
      </c>
      <c r="D7" s="16"/>
      <c r="E7" s="16"/>
      <c r="F7" s="16"/>
      <c r="G7" s="16"/>
      <c r="H7" s="17" t="s">
        <v>60</v>
      </c>
      <c r="I7" s="16" t="s">
        <v>113</v>
      </c>
    </row>
    <row r="8" ht="27" customHeight="1" spans="1:9">
      <c r="A8" s="15" t="s">
        <v>62</v>
      </c>
      <c r="B8" s="15"/>
      <c r="C8" s="16" t="s">
        <v>124</v>
      </c>
      <c r="D8" s="16"/>
      <c r="E8" s="16"/>
      <c r="F8" s="16"/>
      <c r="G8" s="16"/>
      <c r="H8" s="16"/>
      <c r="I8" s="16"/>
    </row>
    <row r="9" ht="27" customHeight="1" spans="1:9">
      <c r="A9" s="15" t="s">
        <v>64</v>
      </c>
      <c r="B9" s="15"/>
      <c r="C9" s="16" t="s">
        <v>65</v>
      </c>
      <c r="D9" s="16"/>
      <c r="E9" s="16"/>
      <c r="F9" s="16"/>
      <c r="G9" s="16"/>
      <c r="H9" s="17" t="s">
        <v>66</v>
      </c>
      <c r="I9" s="16" t="s">
        <v>115</v>
      </c>
    </row>
    <row r="10" ht="27" customHeight="1" spans="1:9">
      <c r="A10" s="15" t="s">
        <v>68</v>
      </c>
      <c r="B10" s="15"/>
      <c r="C10" s="16" t="s">
        <v>65</v>
      </c>
      <c r="D10" s="16"/>
      <c r="E10" s="16"/>
      <c r="F10" s="16"/>
      <c r="G10" s="16"/>
      <c r="H10" s="17" t="s">
        <v>69</v>
      </c>
      <c r="I10" s="16" t="s">
        <v>70</v>
      </c>
    </row>
    <row r="11" ht="27" customHeight="1" spans="1:9">
      <c r="A11" s="15" t="s">
        <v>71</v>
      </c>
      <c r="B11" s="15"/>
      <c r="C11" s="16" t="s">
        <v>125</v>
      </c>
      <c r="D11" s="16"/>
      <c r="E11" s="16"/>
      <c r="F11" s="16"/>
      <c r="G11" s="16"/>
      <c r="H11" s="17" t="s">
        <v>72</v>
      </c>
      <c r="I11" s="16" t="s">
        <v>126</v>
      </c>
    </row>
    <row r="12" ht="27" customHeight="1" spans="1:9">
      <c r="A12" s="15" t="s">
        <v>73</v>
      </c>
      <c r="B12" s="15"/>
      <c r="C12" s="18">
        <v>44317</v>
      </c>
      <c r="D12" s="18"/>
      <c r="E12" s="17" t="s">
        <v>74</v>
      </c>
      <c r="F12" s="18">
        <f>F14+28</f>
        <v>44350</v>
      </c>
      <c r="G12" s="18"/>
      <c r="H12" s="17" t="s">
        <v>75</v>
      </c>
      <c r="I12" s="18">
        <f>F12+2</f>
        <v>44352</v>
      </c>
    </row>
    <row r="13" ht="9" customHeight="1" spans="1:9">
      <c r="A13" s="19"/>
      <c r="B13" s="19"/>
      <c r="C13" s="20"/>
      <c r="D13" s="20"/>
      <c r="E13" s="21"/>
      <c r="F13" s="20"/>
      <c r="G13" s="20"/>
      <c r="H13" s="21"/>
      <c r="I13" s="20"/>
    </row>
    <row r="14" ht="20" customHeight="1" spans="1:9">
      <c r="A14" s="22" t="s">
        <v>76</v>
      </c>
      <c r="B14" s="22"/>
      <c r="C14" s="23" t="s">
        <v>131</v>
      </c>
      <c r="D14" s="23"/>
      <c r="E14" s="23" t="s">
        <v>78</v>
      </c>
      <c r="F14" s="24">
        <f>C12+5</f>
        <v>44322</v>
      </c>
      <c r="G14" s="24"/>
      <c r="H14" s="23" t="s">
        <v>79</v>
      </c>
      <c r="I14" s="23" t="s">
        <v>80</v>
      </c>
    </row>
    <row r="15" ht="8" customHeight="1" spans="1:9">
      <c r="A15" s="19"/>
      <c r="B15" s="19"/>
      <c r="C15" s="21"/>
      <c r="D15" s="21"/>
      <c r="E15" s="21"/>
      <c r="F15" s="21"/>
      <c r="G15" s="21"/>
      <c r="H15" s="21"/>
      <c r="I15" s="21"/>
    </row>
    <row r="16" ht="25" customHeight="1" spans="1:9">
      <c r="A16" s="22" t="s">
        <v>81</v>
      </c>
      <c r="B16" s="23" t="s">
        <v>40</v>
      </c>
      <c r="C16" s="25" t="s">
        <v>82</v>
      </c>
      <c r="D16" s="26"/>
      <c r="E16" s="27" t="s">
        <v>83</v>
      </c>
      <c r="F16" s="28" t="s">
        <v>84</v>
      </c>
      <c r="G16" s="29" t="s">
        <v>128</v>
      </c>
      <c r="H16" s="26" t="s">
        <v>86</v>
      </c>
      <c r="I16" s="45">
        <v>44302</v>
      </c>
    </row>
    <row r="17" ht="25" customHeight="1" spans="1:9">
      <c r="A17" s="22"/>
      <c r="B17" s="23"/>
      <c r="C17" s="30" t="s">
        <v>87</v>
      </c>
      <c r="D17" s="31"/>
      <c r="E17" s="32" t="s">
        <v>88</v>
      </c>
      <c r="F17" s="32"/>
      <c r="G17" s="32"/>
      <c r="H17" s="31" t="s">
        <v>60</v>
      </c>
      <c r="I17" s="46" t="s">
        <v>129</v>
      </c>
    </row>
    <row r="18" ht="25" customHeight="1" spans="1:9">
      <c r="A18" s="22"/>
      <c r="B18" s="23" t="s">
        <v>42</v>
      </c>
      <c r="C18" s="25" t="s">
        <v>82</v>
      </c>
      <c r="D18" s="26"/>
      <c r="E18" s="33" t="s">
        <v>90</v>
      </c>
      <c r="F18" s="33"/>
      <c r="G18" s="33"/>
      <c r="H18" s="26" t="s">
        <v>91</v>
      </c>
      <c r="I18" s="47" t="s">
        <v>65</v>
      </c>
    </row>
    <row r="19" ht="25" customHeight="1" spans="1:9">
      <c r="A19" s="22"/>
      <c r="B19" s="23"/>
      <c r="C19" s="30" t="s">
        <v>92</v>
      </c>
      <c r="D19" s="31"/>
      <c r="E19" s="32" t="s">
        <v>130</v>
      </c>
      <c r="F19" s="32"/>
      <c r="G19" s="32"/>
      <c r="H19" s="31" t="s">
        <v>60</v>
      </c>
      <c r="I19" s="48" t="s">
        <v>122</v>
      </c>
    </row>
    <row r="20" ht="25" customHeight="1" spans="1:9">
      <c r="A20" s="22"/>
      <c r="B20" s="23" t="s">
        <v>95</v>
      </c>
      <c r="C20" s="25" t="s">
        <v>96</v>
      </c>
      <c r="D20" s="26"/>
      <c r="E20" s="33" t="s">
        <v>65</v>
      </c>
      <c r="F20" s="33"/>
      <c r="G20" s="33"/>
      <c r="H20" s="34" t="s">
        <v>97</v>
      </c>
      <c r="I20" s="47" t="s">
        <v>65</v>
      </c>
    </row>
    <row r="21" ht="25" customHeight="1" spans="1:9">
      <c r="A21" s="22"/>
      <c r="B21" s="23"/>
      <c r="C21" s="30" t="s">
        <v>92</v>
      </c>
      <c r="D21" s="31"/>
      <c r="E21" s="32" t="s">
        <v>65</v>
      </c>
      <c r="F21" s="32"/>
      <c r="G21" s="32"/>
      <c r="H21" s="31" t="s">
        <v>60</v>
      </c>
      <c r="I21" s="49" t="s">
        <v>65</v>
      </c>
    </row>
    <row r="22" ht="25" customHeight="1" spans="1:9">
      <c r="A22" s="22"/>
      <c r="B22" s="23" t="s">
        <v>98</v>
      </c>
      <c r="C22" s="25" t="s">
        <v>96</v>
      </c>
      <c r="D22" s="26"/>
      <c r="E22" s="33" t="s">
        <v>65</v>
      </c>
      <c r="F22" s="33"/>
      <c r="G22" s="33"/>
      <c r="H22" s="34" t="s">
        <v>97</v>
      </c>
      <c r="I22" s="47" t="s">
        <v>65</v>
      </c>
    </row>
    <row r="23" ht="25" customHeight="1" spans="1:9">
      <c r="A23" s="22"/>
      <c r="B23" s="23"/>
      <c r="C23" s="30" t="s">
        <v>92</v>
      </c>
      <c r="D23" s="31"/>
      <c r="E23" s="32" t="s">
        <v>65</v>
      </c>
      <c r="F23" s="32"/>
      <c r="G23" s="32"/>
      <c r="H23" s="31" t="s">
        <v>60</v>
      </c>
      <c r="I23" s="49" t="s">
        <v>65</v>
      </c>
    </row>
    <row r="24" ht="25" customHeight="1" spans="1:9">
      <c r="A24" s="22" t="s">
        <v>99</v>
      </c>
      <c r="B24" s="23" t="s">
        <v>100</v>
      </c>
      <c r="C24" s="23"/>
      <c r="D24" s="35" t="s">
        <v>40</v>
      </c>
      <c r="E24" s="36"/>
      <c r="F24" s="35" t="s">
        <v>42</v>
      </c>
      <c r="G24" s="23" t="s">
        <v>95</v>
      </c>
      <c r="H24" s="23" t="s">
        <v>98</v>
      </c>
      <c r="I24" s="23" t="s">
        <v>101</v>
      </c>
    </row>
    <row r="25" ht="25" customHeight="1" spans="1:9">
      <c r="A25" s="22"/>
      <c r="B25" s="23" t="s">
        <v>102</v>
      </c>
      <c r="C25" s="23"/>
      <c r="D25" s="35">
        <v>390</v>
      </c>
      <c r="E25" s="36"/>
      <c r="F25" s="35">
        <v>1560</v>
      </c>
      <c r="G25" s="23" t="s">
        <v>103</v>
      </c>
      <c r="H25" s="23" t="s">
        <v>103</v>
      </c>
      <c r="I25" s="23">
        <v>285</v>
      </c>
    </row>
    <row r="26" ht="25" customHeight="1" spans="1:9">
      <c r="A26" s="22"/>
      <c r="B26" s="23" t="s">
        <v>104</v>
      </c>
      <c r="C26" s="23"/>
      <c r="D26" s="35">
        <v>1</v>
      </c>
      <c r="E26" s="36"/>
      <c r="F26" s="35">
        <v>4</v>
      </c>
      <c r="G26" s="23" t="s">
        <v>103</v>
      </c>
      <c r="H26" s="23" t="s">
        <v>103</v>
      </c>
      <c r="I26" s="23">
        <v>0.73</v>
      </c>
    </row>
    <row r="27" ht="44" customHeight="1" spans="1:9">
      <c r="A27" s="37" t="s">
        <v>11</v>
      </c>
      <c r="B27" s="38"/>
      <c r="C27" s="39" t="s">
        <v>105</v>
      </c>
      <c r="D27" s="40"/>
      <c r="E27" s="40"/>
      <c r="F27" s="40"/>
      <c r="G27" s="40"/>
      <c r="H27" s="40"/>
      <c r="I27" s="50"/>
    </row>
    <row r="28" ht="56" customHeight="1" spans="1:9">
      <c r="A28" s="41" t="s">
        <v>106</v>
      </c>
      <c r="B28" s="41"/>
      <c r="C28" s="41"/>
      <c r="D28" s="41"/>
      <c r="E28" s="41"/>
      <c r="F28" s="41"/>
      <c r="G28" s="41"/>
      <c r="H28" s="41"/>
      <c r="I28" s="41"/>
    </row>
    <row r="29" ht="56" customHeight="1" spans="1:9">
      <c r="A29" s="42" t="s">
        <v>107</v>
      </c>
      <c r="B29" s="41"/>
      <c r="C29" s="41"/>
      <c r="D29" s="41"/>
      <c r="E29" s="19" t="s">
        <v>108</v>
      </c>
      <c r="F29" s="41"/>
      <c r="G29" s="41"/>
      <c r="H29" s="41" t="s">
        <v>109</v>
      </c>
      <c r="I29" s="41"/>
    </row>
    <row r="30" customFormat="1" ht="27" customHeight="1" spans="1:14">
      <c r="A30" s="43" t="s">
        <v>110</v>
      </c>
      <c r="B30" s="43"/>
      <c r="C30" s="43"/>
      <c r="D30" s="43"/>
      <c r="E30" s="43"/>
      <c r="F30" s="44"/>
      <c r="G30" s="43" t="s">
        <v>111</v>
      </c>
      <c r="H30" s="43"/>
      <c r="I30" s="43"/>
      <c r="J30" s="44"/>
      <c r="K30" s="44"/>
      <c r="L30" s="44"/>
      <c r="M30" s="44"/>
      <c r="N30" s="44"/>
    </row>
  </sheetData>
  <mergeCells count="55">
    <mergeCell ref="F1:I1"/>
    <mergeCell ref="G2:I2"/>
    <mergeCell ref="G3:I3"/>
    <mergeCell ref="A5:I5"/>
    <mergeCell ref="A6:I6"/>
    <mergeCell ref="A7:B7"/>
    <mergeCell ref="C7:G7"/>
    <mergeCell ref="A8:B8"/>
    <mergeCell ref="C8:I8"/>
    <mergeCell ref="A9:B9"/>
    <mergeCell ref="C9:G9"/>
    <mergeCell ref="A10:B10"/>
    <mergeCell ref="C10:G10"/>
    <mergeCell ref="A11:B11"/>
    <mergeCell ref="C11:G11"/>
    <mergeCell ref="A12:B12"/>
    <mergeCell ref="C12:D12"/>
    <mergeCell ref="F12:G12"/>
    <mergeCell ref="A14:B14"/>
    <mergeCell ref="C14:D14"/>
    <mergeCell ref="F14:G14"/>
    <mergeCell ref="C16:D16"/>
    <mergeCell ref="C17:D17"/>
    <mergeCell ref="E17:G17"/>
    <mergeCell ref="C18:D18"/>
    <mergeCell ref="E18:G18"/>
    <mergeCell ref="C19:D19"/>
    <mergeCell ref="E19:G19"/>
    <mergeCell ref="C20:D20"/>
    <mergeCell ref="E20:G20"/>
    <mergeCell ref="C21:D21"/>
    <mergeCell ref="E21:G21"/>
    <mergeCell ref="C22:D22"/>
    <mergeCell ref="E22:G22"/>
    <mergeCell ref="C23:D23"/>
    <mergeCell ref="E23:G23"/>
    <mergeCell ref="B24:C24"/>
    <mergeCell ref="D24:E24"/>
    <mergeCell ref="B25:C25"/>
    <mergeCell ref="D25:E25"/>
    <mergeCell ref="B26:C26"/>
    <mergeCell ref="D26:E26"/>
    <mergeCell ref="A27:B27"/>
    <mergeCell ref="C27:I27"/>
    <mergeCell ref="A28:I28"/>
    <mergeCell ref="A30:E30"/>
    <mergeCell ref="G30:I30"/>
    <mergeCell ref="A1:A2"/>
    <mergeCell ref="A16:A23"/>
    <mergeCell ref="A24:A26"/>
    <mergeCell ref="B16:B17"/>
    <mergeCell ref="B18:B19"/>
    <mergeCell ref="B20:B21"/>
    <mergeCell ref="B22:B23"/>
    <mergeCell ref="B1:D2"/>
  </mergeCell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XEW30"/>
  <sheetViews>
    <sheetView view="pageBreakPreview" zoomScaleNormal="100" workbookViewId="0">
      <selection activeCell="C17" sqref="C17:D17"/>
    </sheetView>
  </sheetViews>
  <sheetFormatPr defaultColWidth="9" defaultRowHeight="13.5"/>
  <cols>
    <col min="1" max="1" width="7.5" style="2" customWidth="1"/>
    <col min="2" max="2" width="9.25" style="2" customWidth="1"/>
    <col min="3" max="3" width="7.5" style="1" customWidth="1"/>
    <col min="4" max="4" width="5.5" style="1" customWidth="1"/>
    <col min="5" max="5" width="9.375" style="1" customWidth="1"/>
    <col min="6" max="6" width="10.125" style="1" customWidth="1"/>
    <col min="7" max="8" width="10.375" style="1" customWidth="1"/>
    <col min="9" max="9" width="16.875" style="1" customWidth="1"/>
    <col min="10" max="16381" width="9" style="1"/>
  </cols>
  <sheetData>
    <row r="1" s="1" customFormat="1" ht="8" customHeight="1" spans="1:16376">
      <c r="A1" s="3"/>
      <c r="B1" s="3"/>
      <c r="C1" s="3"/>
      <c r="D1" s="3"/>
      <c r="E1" s="2"/>
      <c r="F1" s="4"/>
      <c r="G1" s="4"/>
      <c r="H1" s="4"/>
      <c r="I1" s="4"/>
      <c r="XET1"/>
      <c r="XEU1"/>
      <c r="XEV1"/>
    </row>
    <row r="2" s="1" customFormat="1" ht="8" customHeight="1" spans="1:16376">
      <c r="A2" s="3"/>
      <c r="B2" s="3"/>
      <c r="C2" s="3"/>
      <c r="D2" s="3"/>
      <c r="E2" s="2"/>
      <c r="F2" s="5"/>
      <c r="G2" s="6"/>
      <c r="H2" s="6"/>
      <c r="I2" s="6"/>
      <c r="XET2"/>
      <c r="XEU2"/>
      <c r="XEV2"/>
    </row>
    <row r="3" s="1" customFormat="1" ht="8" customHeight="1" spans="1:16376">
      <c r="A3" s="3"/>
      <c r="B3" s="7"/>
      <c r="C3" s="7"/>
      <c r="D3" s="7"/>
      <c r="E3" s="7"/>
      <c r="F3" s="8"/>
      <c r="G3" s="9"/>
      <c r="H3" s="9"/>
      <c r="I3" s="9"/>
      <c r="XET3"/>
      <c r="XEU3"/>
      <c r="XEV3"/>
    </row>
    <row r="4" s="1" customFormat="1" ht="8" customHeight="1" spans="1:16377">
      <c r="A4" s="2"/>
      <c r="F4" s="4"/>
      <c r="G4" s="10"/>
      <c r="H4" s="10"/>
      <c r="I4" s="10"/>
      <c r="XER4"/>
      <c r="XES4"/>
      <c r="XET4"/>
      <c r="XEU4"/>
      <c r="XEV4"/>
      <c r="XEW4"/>
    </row>
    <row r="5" ht="20" customHeight="1" spans="1:9">
      <c r="A5" s="11" t="s">
        <v>56</v>
      </c>
      <c r="B5" s="11"/>
      <c r="C5" s="12"/>
      <c r="D5" s="12"/>
      <c r="E5" s="12"/>
      <c r="F5" s="12"/>
      <c r="G5" s="12"/>
      <c r="H5" s="12"/>
      <c r="I5" s="12"/>
    </row>
    <row r="6" ht="25" customHeight="1" spans="1:9">
      <c r="A6" s="13" t="s">
        <v>57</v>
      </c>
      <c r="B6" s="13"/>
      <c r="C6" s="14"/>
      <c r="D6" s="14"/>
      <c r="E6" s="14"/>
      <c r="F6" s="14"/>
      <c r="G6" s="14"/>
      <c r="H6" s="14"/>
      <c r="I6" s="14"/>
    </row>
    <row r="7" ht="27" customHeight="1" spans="1:9">
      <c r="A7" s="15" t="s">
        <v>58</v>
      </c>
      <c r="B7" s="15"/>
      <c r="C7" s="16" t="s">
        <v>123</v>
      </c>
      <c r="D7" s="16"/>
      <c r="E7" s="16"/>
      <c r="F7" s="16"/>
      <c r="G7" s="16"/>
      <c r="H7" s="17" t="s">
        <v>60</v>
      </c>
      <c r="I7" s="16" t="s">
        <v>113</v>
      </c>
    </row>
    <row r="8" ht="27" customHeight="1" spans="1:9">
      <c r="A8" s="15" t="s">
        <v>62</v>
      </c>
      <c r="B8" s="15"/>
      <c r="C8" s="16" t="s">
        <v>124</v>
      </c>
      <c r="D8" s="16"/>
      <c r="E8" s="16"/>
      <c r="F8" s="16"/>
      <c r="G8" s="16"/>
      <c r="H8" s="16"/>
      <c r="I8" s="16"/>
    </row>
    <row r="9" ht="27" customHeight="1" spans="1:9">
      <c r="A9" s="15" t="s">
        <v>64</v>
      </c>
      <c r="B9" s="15"/>
      <c r="C9" s="16" t="s">
        <v>65</v>
      </c>
      <c r="D9" s="16"/>
      <c r="E9" s="16"/>
      <c r="F9" s="16"/>
      <c r="G9" s="16"/>
      <c r="H9" s="17" t="s">
        <v>66</v>
      </c>
      <c r="I9" s="16" t="s">
        <v>115</v>
      </c>
    </row>
    <row r="10" ht="27" customHeight="1" spans="1:9">
      <c r="A10" s="15" t="s">
        <v>68</v>
      </c>
      <c r="B10" s="15"/>
      <c r="C10" s="16" t="s">
        <v>65</v>
      </c>
      <c r="D10" s="16"/>
      <c r="E10" s="16"/>
      <c r="F10" s="16"/>
      <c r="G10" s="16"/>
      <c r="H10" s="17" t="s">
        <v>69</v>
      </c>
      <c r="I10" s="16" t="s">
        <v>70</v>
      </c>
    </row>
    <row r="11" ht="27" customHeight="1" spans="1:9">
      <c r="A11" s="15" t="s">
        <v>71</v>
      </c>
      <c r="B11" s="15"/>
      <c r="C11" s="16" t="s">
        <v>125</v>
      </c>
      <c r="D11" s="16"/>
      <c r="E11" s="16"/>
      <c r="F11" s="16"/>
      <c r="G11" s="16"/>
      <c r="H11" s="17" t="s">
        <v>72</v>
      </c>
      <c r="I11" s="16" t="s">
        <v>126</v>
      </c>
    </row>
    <row r="12" ht="27" customHeight="1" spans="1:9">
      <c r="A12" s="15" t="s">
        <v>73</v>
      </c>
      <c r="B12" s="15"/>
      <c r="C12" s="18">
        <v>44317</v>
      </c>
      <c r="D12" s="18"/>
      <c r="E12" s="17" t="s">
        <v>74</v>
      </c>
      <c r="F12" s="18">
        <f>F14+28</f>
        <v>44350</v>
      </c>
      <c r="G12" s="18"/>
      <c r="H12" s="17" t="s">
        <v>75</v>
      </c>
      <c r="I12" s="18">
        <f>F12+2</f>
        <v>44352</v>
      </c>
    </row>
    <row r="13" ht="9" customHeight="1" spans="1:9">
      <c r="A13" s="19"/>
      <c r="B13" s="19"/>
      <c r="C13" s="20"/>
      <c r="D13" s="20"/>
      <c r="E13" s="21"/>
      <c r="F13" s="20"/>
      <c r="G13" s="20"/>
      <c r="H13" s="21"/>
      <c r="I13" s="20"/>
    </row>
    <row r="14" ht="20" customHeight="1" spans="1:9">
      <c r="A14" s="22" t="s">
        <v>76</v>
      </c>
      <c r="B14" s="22"/>
      <c r="C14" s="23" t="s">
        <v>132</v>
      </c>
      <c r="D14" s="23"/>
      <c r="E14" s="23" t="s">
        <v>78</v>
      </c>
      <c r="F14" s="24">
        <f>C12+5</f>
        <v>44322</v>
      </c>
      <c r="G14" s="24"/>
      <c r="H14" s="23" t="s">
        <v>79</v>
      </c>
      <c r="I14" s="23" t="s">
        <v>80</v>
      </c>
    </row>
    <row r="15" ht="8" customHeight="1" spans="1:9">
      <c r="A15" s="19"/>
      <c r="B15" s="19"/>
      <c r="C15" s="21"/>
      <c r="D15" s="21"/>
      <c r="E15" s="21"/>
      <c r="F15" s="21"/>
      <c r="G15" s="21"/>
      <c r="H15" s="21"/>
      <c r="I15" s="21"/>
    </row>
    <row r="16" ht="25" customHeight="1" spans="1:9">
      <c r="A16" s="22" t="s">
        <v>81</v>
      </c>
      <c r="B16" s="23" t="s">
        <v>40</v>
      </c>
      <c r="C16" s="25" t="s">
        <v>82</v>
      </c>
      <c r="D16" s="26"/>
      <c r="E16" s="27" t="s">
        <v>83</v>
      </c>
      <c r="F16" s="28" t="s">
        <v>84</v>
      </c>
      <c r="G16" s="29" t="s">
        <v>128</v>
      </c>
      <c r="H16" s="26" t="s">
        <v>86</v>
      </c>
      <c r="I16" s="45">
        <v>44302</v>
      </c>
    </row>
    <row r="17" ht="25" customHeight="1" spans="1:9">
      <c r="A17" s="22"/>
      <c r="B17" s="23"/>
      <c r="C17" s="30" t="s">
        <v>87</v>
      </c>
      <c r="D17" s="31"/>
      <c r="E17" s="32" t="s">
        <v>88</v>
      </c>
      <c r="F17" s="32"/>
      <c r="G17" s="32"/>
      <c r="H17" s="31" t="s">
        <v>60</v>
      </c>
      <c r="I17" s="46" t="s">
        <v>129</v>
      </c>
    </row>
    <row r="18" ht="25" customHeight="1" spans="1:9">
      <c r="A18" s="22"/>
      <c r="B18" s="23" t="s">
        <v>42</v>
      </c>
      <c r="C18" s="25" t="s">
        <v>82</v>
      </c>
      <c r="D18" s="26"/>
      <c r="E18" s="33" t="s">
        <v>90</v>
      </c>
      <c r="F18" s="33"/>
      <c r="G18" s="33"/>
      <c r="H18" s="26" t="s">
        <v>91</v>
      </c>
      <c r="I18" s="47" t="s">
        <v>65</v>
      </c>
    </row>
    <row r="19" ht="25" customHeight="1" spans="1:9">
      <c r="A19" s="22"/>
      <c r="B19" s="23"/>
      <c r="C19" s="30" t="s">
        <v>92</v>
      </c>
      <c r="D19" s="31"/>
      <c r="E19" s="32" t="s">
        <v>130</v>
      </c>
      <c r="F19" s="32"/>
      <c r="G19" s="32"/>
      <c r="H19" s="31" t="s">
        <v>60</v>
      </c>
      <c r="I19" s="48" t="s">
        <v>122</v>
      </c>
    </row>
    <row r="20" ht="25" customHeight="1" spans="1:9">
      <c r="A20" s="22"/>
      <c r="B20" s="23" t="s">
        <v>95</v>
      </c>
      <c r="C20" s="25" t="s">
        <v>96</v>
      </c>
      <c r="D20" s="26"/>
      <c r="E20" s="33" t="s">
        <v>65</v>
      </c>
      <c r="F20" s="33"/>
      <c r="G20" s="33"/>
      <c r="H20" s="34" t="s">
        <v>97</v>
      </c>
      <c r="I20" s="47" t="s">
        <v>65</v>
      </c>
    </row>
    <row r="21" ht="25" customHeight="1" spans="1:9">
      <c r="A21" s="22"/>
      <c r="B21" s="23"/>
      <c r="C21" s="30" t="s">
        <v>92</v>
      </c>
      <c r="D21" s="31"/>
      <c r="E21" s="32" t="s">
        <v>65</v>
      </c>
      <c r="F21" s="32"/>
      <c r="G21" s="32"/>
      <c r="H21" s="31" t="s">
        <v>60</v>
      </c>
      <c r="I21" s="49" t="s">
        <v>65</v>
      </c>
    </row>
    <row r="22" ht="25" customHeight="1" spans="1:9">
      <c r="A22" s="22"/>
      <c r="B22" s="23" t="s">
        <v>98</v>
      </c>
      <c r="C22" s="25" t="s">
        <v>96</v>
      </c>
      <c r="D22" s="26"/>
      <c r="E22" s="33" t="s">
        <v>65</v>
      </c>
      <c r="F22" s="33"/>
      <c r="G22" s="33"/>
      <c r="H22" s="34" t="s">
        <v>97</v>
      </c>
      <c r="I22" s="47" t="s">
        <v>65</v>
      </c>
    </row>
    <row r="23" ht="25" customHeight="1" spans="1:9">
      <c r="A23" s="22"/>
      <c r="B23" s="23"/>
      <c r="C23" s="30" t="s">
        <v>92</v>
      </c>
      <c r="D23" s="31"/>
      <c r="E23" s="32" t="s">
        <v>65</v>
      </c>
      <c r="F23" s="32"/>
      <c r="G23" s="32"/>
      <c r="H23" s="31" t="s">
        <v>60</v>
      </c>
      <c r="I23" s="49" t="s">
        <v>65</v>
      </c>
    </row>
    <row r="24" ht="25" customHeight="1" spans="1:9">
      <c r="A24" s="22" t="s">
        <v>99</v>
      </c>
      <c r="B24" s="23" t="s">
        <v>100</v>
      </c>
      <c r="C24" s="23"/>
      <c r="D24" s="35" t="s">
        <v>40</v>
      </c>
      <c r="E24" s="36"/>
      <c r="F24" s="35" t="s">
        <v>42</v>
      </c>
      <c r="G24" s="23" t="s">
        <v>95</v>
      </c>
      <c r="H24" s="23" t="s">
        <v>98</v>
      </c>
      <c r="I24" s="23" t="s">
        <v>101</v>
      </c>
    </row>
    <row r="25" ht="25" customHeight="1" spans="1:9">
      <c r="A25" s="22"/>
      <c r="B25" s="23" t="s">
        <v>102</v>
      </c>
      <c r="C25" s="23"/>
      <c r="D25" s="35">
        <v>390</v>
      </c>
      <c r="E25" s="36"/>
      <c r="F25" s="35">
        <v>1560</v>
      </c>
      <c r="G25" s="23" t="s">
        <v>103</v>
      </c>
      <c r="H25" s="23" t="s">
        <v>103</v>
      </c>
      <c r="I25" s="23">
        <v>285</v>
      </c>
    </row>
    <row r="26" ht="25" customHeight="1" spans="1:9">
      <c r="A26" s="22"/>
      <c r="B26" s="23" t="s">
        <v>104</v>
      </c>
      <c r="C26" s="23"/>
      <c r="D26" s="35">
        <v>1</v>
      </c>
      <c r="E26" s="36"/>
      <c r="F26" s="35">
        <v>4</v>
      </c>
      <c r="G26" s="23" t="s">
        <v>103</v>
      </c>
      <c r="H26" s="23" t="s">
        <v>103</v>
      </c>
      <c r="I26" s="23">
        <v>0.73</v>
      </c>
    </row>
    <row r="27" ht="44" customHeight="1" spans="1:9">
      <c r="A27" s="37" t="s">
        <v>11</v>
      </c>
      <c r="B27" s="38"/>
      <c r="C27" s="39" t="s">
        <v>105</v>
      </c>
      <c r="D27" s="40"/>
      <c r="E27" s="40"/>
      <c r="F27" s="40"/>
      <c r="G27" s="40"/>
      <c r="H27" s="40"/>
      <c r="I27" s="50"/>
    </row>
    <row r="28" ht="56" customHeight="1" spans="1:9">
      <c r="A28" s="41" t="s">
        <v>106</v>
      </c>
      <c r="B28" s="41"/>
      <c r="C28" s="41"/>
      <c r="D28" s="41"/>
      <c r="E28" s="41"/>
      <c r="F28" s="41"/>
      <c r="G28" s="41"/>
      <c r="H28" s="41"/>
      <c r="I28" s="41"/>
    </row>
    <row r="29" ht="56" customHeight="1" spans="1:9">
      <c r="A29" s="42" t="s">
        <v>107</v>
      </c>
      <c r="B29" s="41"/>
      <c r="C29" s="41"/>
      <c r="D29" s="41"/>
      <c r="E29" s="19" t="s">
        <v>108</v>
      </c>
      <c r="F29" s="41"/>
      <c r="G29" s="41"/>
      <c r="H29" s="41" t="s">
        <v>109</v>
      </c>
      <c r="I29" s="41"/>
    </row>
    <row r="30" customFormat="1" ht="27" customHeight="1" spans="1:14">
      <c r="A30" s="43" t="s">
        <v>110</v>
      </c>
      <c r="B30" s="43"/>
      <c r="C30" s="43"/>
      <c r="D30" s="43"/>
      <c r="E30" s="43"/>
      <c r="F30" s="44"/>
      <c r="G30" s="43" t="s">
        <v>111</v>
      </c>
      <c r="H30" s="43"/>
      <c r="I30" s="43"/>
      <c r="J30" s="44"/>
      <c r="K30" s="44"/>
      <c r="L30" s="44"/>
      <c r="M30" s="44"/>
      <c r="N30" s="44"/>
    </row>
  </sheetData>
  <mergeCells count="55">
    <mergeCell ref="F1:I1"/>
    <mergeCell ref="G2:I2"/>
    <mergeCell ref="G3:I3"/>
    <mergeCell ref="A5:I5"/>
    <mergeCell ref="A6:I6"/>
    <mergeCell ref="A7:B7"/>
    <mergeCell ref="C7:G7"/>
    <mergeCell ref="A8:B8"/>
    <mergeCell ref="C8:I8"/>
    <mergeCell ref="A9:B9"/>
    <mergeCell ref="C9:G9"/>
    <mergeCell ref="A10:B10"/>
    <mergeCell ref="C10:G10"/>
    <mergeCell ref="A11:B11"/>
    <mergeCell ref="C11:G11"/>
    <mergeCell ref="A12:B12"/>
    <mergeCell ref="C12:D12"/>
    <mergeCell ref="F12:G12"/>
    <mergeCell ref="A14:B14"/>
    <mergeCell ref="C14:D14"/>
    <mergeCell ref="F14:G14"/>
    <mergeCell ref="C16:D16"/>
    <mergeCell ref="C17:D17"/>
    <mergeCell ref="E17:G17"/>
    <mergeCell ref="C18:D18"/>
    <mergeCell ref="E18:G18"/>
    <mergeCell ref="C19:D19"/>
    <mergeCell ref="E19:G19"/>
    <mergeCell ref="C20:D20"/>
    <mergeCell ref="E20:G20"/>
    <mergeCell ref="C21:D21"/>
    <mergeCell ref="E21:G21"/>
    <mergeCell ref="C22:D22"/>
    <mergeCell ref="E22:G22"/>
    <mergeCell ref="C23:D23"/>
    <mergeCell ref="E23:G23"/>
    <mergeCell ref="B24:C24"/>
    <mergeCell ref="D24:E24"/>
    <mergeCell ref="B25:C25"/>
    <mergeCell ref="D25:E25"/>
    <mergeCell ref="B26:C26"/>
    <mergeCell ref="D26:E26"/>
    <mergeCell ref="A27:B27"/>
    <mergeCell ref="C27:I27"/>
    <mergeCell ref="A28:I28"/>
    <mergeCell ref="A30:E30"/>
    <mergeCell ref="G30:I30"/>
    <mergeCell ref="A1:A2"/>
    <mergeCell ref="A16:A23"/>
    <mergeCell ref="A24:A26"/>
    <mergeCell ref="B16:B17"/>
    <mergeCell ref="B18:B19"/>
    <mergeCell ref="B20:B21"/>
    <mergeCell ref="B22:B23"/>
    <mergeCell ref="B1:D2"/>
  </mergeCell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XEW30"/>
  <sheetViews>
    <sheetView view="pageBreakPreview" zoomScaleNormal="100" workbookViewId="0">
      <selection activeCell="F26" sqref="F26"/>
    </sheetView>
  </sheetViews>
  <sheetFormatPr defaultColWidth="9" defaultRowHeight="13.5"/>
  <cols>
    <col min="1" max="1" width="7.5" style="2" customWidth="1"/>
    <col min="2" max="2" width="9.25" style="2" customWidth="1"/>
    <col min="3" max="3" width="7.5" style="1" customWidth="1"/>
    <col min="4" max="4" width="5.5" style="1" customWidth="1"/>
    <col min="5" max="5" width="9.375" style="1" customWidth="1"/>
    <col min="6" max="6" width="10.125" style="1" customWidth="1"/>
    <col min="7" max="8" width="10.375" style="1" customWidth="1"/>
    <col min="9" max="9" width="16.875" style="1" customWidth="1"/>
    <col min="10" max="16381" width="9" style="1"/>
  </cols>
  <sheetData>
    <row r="1" s="1" customFormat="1" ht="8" customHeight="1" spans="1:16376">
      <c r="A1" s="3"/>
      <c r="B1" s="3"/>
      <c r="C1" s="3"/>
      <c r="D1" s="3"/>
      <c r="E1" s="2"/>
      <c r="F1" s="4"/>
      <c r="G1" s="4"/>
      <c r="H1" s="4"/>
      <c r="I1" s="4"/>
      <c r="XET1"/>
      <c r="XEU1"/>
      <c r="XEV1"/>
    </row>
    <row r="2" s="1" customFormat="1" ht="8" customHeight="1" spans="1:16376">
      <c r="A2" s="3"/>
      <c r="B2" s="3"/>
      <c r="C2" s="3"/>
      <c r="D2" s="3"/>
      <c r="E2" s="2"/>
      <c r="F2" s="5"/>
      <c r="G2" s="6"/>
      <c r="H2" s="6"/>
      <c r="I2" s="6"/>
      <c r="XET2"/>
      <c r="XEU2"/>
      <c r="XEV2"/>
    </row>
    <row r="3" s="1" customFormat="1" ht="8" customHeight="1" spans="1:16376">
      <c r="A3" s="3"/>
      <c r="B3" s="7"/>
      <c r="C3" s="7"/>
      <c r="D3" s="7"/>
      <c r="E3" s="7"/>
      <c r="F3" s="8"/>
      <c r="G3" s="9"/>
      <c r="H3" s="9"/>
      <c r="I3" s="9"/>
      <c r="XET3"/>
      <c r="XEU3"/>
      <c r="XEV3"/>
    </row>
    <row r="4" s="1" customFormat="1" ht="8" customHeight="1" spans="1:16377">
      <c r="A4" s="2"/>
      <c r="F4" s="4"/>
      <c r="G4" s="10"/>
      <c r="H4" s="10"/>
      <c r="I4" s="10"/>
      <c r="XER4"/>
      <c r="XES4"/>
      <c r="XET4"/>
      <c r="XEU4"/>
      <c r="XEV4"/>
      <c r="XEW4"/>
    </row>
    <row r="5" ht="20" customHeight="1" spans="1:9">
      <c r="A5" s="11" t="s">
        <v>56</v>
      </c>
      <c r="B5" s="11"/>
      <c r="C5" s="12"/>
      <c r="D5" s="12"/>
      <c r="E5" s="12"/>
      <c r="F5" s="12"/>
      <c r="G5" s="12"/>
      <c r="H5" s="12"/>
      <c r="I5" s="12"/>
    </row>
    <row r="6" ht="25" customHeight="1" spans="1:9">
      <c r="A6" s="13" t="s">
        <v>57</v>
      </c>
      <c r="B6" s="13"/>
      <c r="C6" s="14"/>
      <c r="D6" s="14"/>
      <c r="E6" s="14"/>
      <c r="F6" s="14"/>
      <c r="G6" s="14"/>
      <c r="H6" s="14"/>
      <c r="I6" s="14"/>
    </row>
    <row r="7" ht="27" customHeight="1" spans="1:9">
      <c r="A7" s="15" t="s">
        <v>58</v>
      </c>
      <c r="B7" s="15"/>
      <c r="C7" s="16" t="s">
        <v>123</v>
      </c>
      <c r="D7" s="16"/>
      <c r="E7" s="16"/>
      <c r="F7" s="16"/>
      <c r="G7" s="16"/>
      <c r="H7" s="17" t="s">
        <v>60</v>
      </c>
      <c r="I7" s="16" t="s">
        <v>113</v>
      </c>
    </row>
    <row r="8" ht="27" customHeight="1" spans="1:9">
      <c r="A8" s="15" t="s">
        <v>62</v>
      </c>
      <c r="B8" s="15"/>
      <c r="C8" s="16" t="s">
        <v>124</v>
      </c>
      <c r="D8" s="16"/>
      <c r="E8" s="16"/>
      <c r="F8" s="16"/>
      <c r="G8" s="16"/>
      <c r="H8" s="16"/>
      <c r="I8" s="16"/>
    </row>
    <row r="9" ht="27" customHeight="1" spans="1:9">
      <c r="A9" s="15" t="s">
        <v>64</v>
      </c>
      <c r="B9" s="15"/>
      <c r="C9" s="16" t="s">
        <v>65</v>
      </c>
      <c r="D9" s="16"/>
      <c r="E9" s="16"/>
      <c r="F9" s="16"/>
      <c r="G9" s="16"/>
      <c r="H9" s="17" t="s">
        <v>66</v>
      </c>
      <c r="I9" s="16" t="s">
        <v>115</v>
      </c>
    </row>
    <row r="10" ht="27" customHeight="1" spans="1:9">
      <c r="A10" s="15" t="s">
        <v>68</v>
      </c>
      <c r="B10" s="15"/>
      <c r="C10" s="16" t="s">
        <v>65</v>
      </c>
      <c r="D10" s="16"/>
      <c r="E10" s="16"/>
      <c r="F10" s="16"/>
      <c r="G10" s="16"/>
      <c r="H10" s="17" t="s">
        <v>69</v>
      </c>
      <c r="I10" s="16" t="s">
        <v>70</v>
      </c>
    </row>
    <row r="11" ht="27" customHeight="1" spans="1:9">
      <c r="A11" s="15" t="s">
        <v>71</v>
      </c>
      <c r="B11" s="15"/>
      <c r="C11" s="16" t="s">
        <v>125</v>
      </c>
      <c r="D11" s="16"/>
      <c r="E11" s="16"/>
      <c r="F11" s="16"/>
      <c r="G11" s="16"/>
      <c r="H11" s="17" t="s">
        <v>72</v>
      </c>
      <c r="I11" s="16" t="s">
        <v>126</v>
      </c>
    </row>
    <row r="12" ht="27" customHeight="1" spans="1:9">
      <c r="A12" s="15" t="s">
        <v>73</v>
      </c>
      <c r="B12" s="15"/>
      <c r="C12" s="18">
        <v>44317</v>
      </c>
      <c r="D12" s="18"/>
      <c r="E12" s="17" t="s">
        <v>74</v>
      </c>
      <c r="F12" s="18">
        <f>F14+28</f>
        <v>44350</v>
      </c>
      <c r="G12" s="18"/>
      <c r="H12" s="17" t="s">
        <v>75</v>
      </c>
      <c r="I12" s="18">
        <f>F12+2</f>
        <v>44352</v>
      </c>
    </row>
    <row r="13" ht="9" customHeight="1" spans="1:9">
      <c r="A13" s="19"/>
      <c r="B13" s="19"/>
      <c r="C13" s="20"/>
      <c r="D13" s="20"/>
      <c r="E13" s="21"/>
      <c r="F13" s="20"/>
      <c r="G13" s="20"/>
      <c r="H13" s="21"/>
      <c r="I13" s="20"/>
    </row>
    <row r="14" ht="20" customHeight="1" spans="1:9">
      <c r="A14" s="22" t="s">
        <v>76</v>
      </c>
      <c r="B14" s="22"/>
      <c r="C14" s="23" t="s">
        <v>133</v>
      </c>
      <c r="D14" s="23"/>
      <c r="E14" s="23" t="s">
        <v>78</v>
      </c>
      <c r="F14" s="24">
        <f>C12+5</f>
        <v>44322</v>
      </c>
      <c r="G14" s="24"/>
      <c r="H14" s="23" t="s">
        <v>79</v>
      </c>
      <c r="I14" s="23" t="s">
        <v>80</v>
      </c>
    </row>
    <row r="15" ht="8" customHeight="1" spans="1:9">
      <c r="A15" s="19"/>
      <c r="B15" s="19"/>
      <c r="C15" s="21"/>
      <c r="D15" s="21"/>
      <c r="E15" s="21"/>
      <c r="F15" s="21"/>
      <c r="G15" s="21"/>
      <c r="H15" s="21"/>
      <c r="I15" s="21"/>
    </row>
    <row r="16" ht="25" customHeight="1" spans="1:9">
      <c r="A16" s="22" t="s">
        <v>81</v>
      </c>
      <c r="B16" s="23" t="s">
        <v>40</v>
      </c>
      <c r="C16" s="25" t="s">
        <v>82</v>
      </c>
      <c r="D16" s="26"/>
      <c r="E16" s="27" t="s">
        <v>83</v>
      </c>
      <c r="F16" s="28" t="s">
        <v>84</v>
      </c>
      <c r="G16" s="29" t="s">
        <v>128</v>
      </c>
      <c r="H16" s="26" t="s">
        <v>86</v>
      </c>
      <c r="I16" s="45">
        <v>44302</v>
      </c>
    </row>
    <row r="17" ht="25" customHeight="1" spans="1:9">
      <c r="A17" s="22"/>
      <c r="B17" s="23"/>
      <c r="C17" s="30" t="s">
        <v>87</v>
      </c>
      <c r="D17" s="31"/>
      <c r="E17" s="32" t="s">
        <v>88</v>
      </c>
      <c r="F17" s="32"/>
      <c r="G17" s="32"/>
      <c r="H17" s="31" t="s">
        <v>60</v>
      </c>
      <c r="I17" s="46" t="s">
        <v>129</v>
      </c>
    </row>
    <row r="18" ht="25" customHeight="1" spans="1:9">
      <c r="A18" s="22"/>
      <c r="B18" s="23" t="s">
        <v>42</v>
      </c>
      <c r="C18" s="25" t="s">
        <v>82</v>
      </c>
      <c r="D18" s="26"/>
      <c r="E18" s="33" t="s">
        <v>90</v>
      </c>
      <c r="F18" s="33"/>
      <c r="G18" s="33"/>
      <c r="H18" s="26" t="s">
        <v>91</v>
      </c>
      <c r="I18" s="47" t="s">
        <v>65</v>
      </c>
    </row>
    <row r="19" ht="25" customHeight="1" spans="1:9">
      <c r="A19" s="22"/>
      <c r="B19" s="23"/>
      <c r="C19" s="30" t="s">
        <v>92</v>
      </c>
      <c r="D19" s="31"/>
      <c r="E19" s="32" t="s">
        <v>130</v>
      </c>
      <c r="F19" s="32"/>
      <c r="G19" s="32"/>
      <c r="H19" s="31" t="s">
        <v>60</v>
      </c>
      <c r="I19" s="48" t="s">
        <v>122</v>
      </c>
    </row>
    <row r="20" ht="25" customHeight="1" spans="1:9">
      <c r="A20" s="22"/>
      <c r="B20" s="23" t="s">
        <v>95</v>
      </c>
      <c r="C20" s="25" t="s">
        <v>96</v>
      </c>
      <c r="D20" s="26"/>
      <c r="E20" s="33" t="s">
        <v>65</v>
      </c>
      <c r="F20" s="33"/>
      <c r="G20" s="33"/>
      <c r="H20" s="34" t="s">
        <v>97</v>
      </c>
      <c r="I20" s="47" t="s">
        <v>65</v>
      </c>
    </row>
    <row r="21" ht="25" customHeight="1" spans="1:9">
      <c r="A21" s="22"/>
      <c r="B21" s="23"/>
      <c r="C21" s="30" t="s">
        <v>92</v>
      </c>
      <c r="D21" s="31"/>
      <c r="E21" s="32" t="s">
        <v>65</v>
      </c>
      <c r="F21" s="32"/>
      <c r="G21" s="32"/>
      <c r="H21" s="31" t="s">
        <v>60</v>
      </c>
      <c r="I21" s="49" t="s">
        <v>65</v>
      </c>
    </row>
    <row r="22" ht="25" customHeight="1" spans="1:9">
      <c r="A22" s="22"/>
      <c r="B22" s="23" t="s">
        <v>98</v>
      </c>
      <c r="C22" s="25" t="s">
        <v>96</v>
      </c>
      <c r="D22" s="26"/>
      <c r="E22" s="33" t="s">
        <v>65</v>
      </c>
      <c r="F22" s="33"/>
      <c r="G22" s="33"/>
      <c r="H22" s="34" t="s">
        <v>97</v>
      </c>
      <c r="I22" s="47" t="s">
        <v>65</v>
      </c>
    </row>
    <row r="23" ht="25" customHeight="1" spans="1:9">
      <c r="A23" s="22"/>
      <c r="B23" s="23"/>
      <c r="C23" s="30" t="s">
        <v>92</v>
      </c>
      <c r="D23" s="31"/>
      <c r="E23" s="32" t="s">
        <v>65</v>
      </c>
      <c r="F23" s="32"/>
      <c r="G23" s="32"/>
      <c r="H23" s="31" t="s">
        <v>60</v>
      </c>
      <c r="I23" s="49" t="s">
        <v>65</v>
      </c>
    </row>
    <row r="24" ht="25" customHeight="1" spans="1:9">
      <c r="A24" s="22" t="s">
        <v>99</v>
      </c>
      <c r="B24" s="23" t="s">
        <v>100</v>
      </c>
      <c r="C24" s="23"/>
      <c r="D24" s="35" t="s">
        <v>40</v>
      </c>
      <c r="E24" s="36"/>
      <c r="F24" s="35" t="s">
        <v>42</v>
      </c>
      <c r="G24" s="23" t="s">
        <v>95</v>
      </c>
      <c r="H24" s="23" t="s">
        <v>98</v>
      </c>
      <c r="I24" s="23" t="s">
        <v>101</v>
      </c>
    </row>
    <row r="25" ht="25" customHeight="1" spans="1:9">
      <c r="A25" s="22"/>
      <c r="B25" s="23" t="s">
        <v>102</v>
      </c>
      <c r="C25" s="23"/>
      <c r="D25" s="35">
        <v>390</v>
      </c>
      <c r="E25" s="36"/>
      <c r="F25" s="35">
        <v>1560</v>
      </c>
      <c r="G25" s="23" t="s">
        <v>103</v>
      </c>
      <c r="H25" s="23" t="s">
        <v>103</v>
      </c>
      <c r="I25" s="23">
        <v>285</v>
      </c>
    </row>
    <row r="26" ht="25" customHeight="1" spans="1:9">
      <c r="A26" s="22"/>
      <c r="B26" s="23" t="s">
        <v>104</v>
      </c>
      <c r="C26" s="23"/>
      <c r="D26" s="35">
        <v>1</v>
      </c>
      <c r="E26" s="36"/>
      <c r="F26" s="35">
        <v>4</v>
      </c>
      <c r="G26" s="23" t="s">
        <v>103</v>
      </c>
      <c r="H26" s="23" t="s">
        <v>103</v>
      </c>
      <c r="I26" s="23">
        <v>0.73</v>
      </c>
    </row>
    <row r="27" ht="44" customHeight="1" spans="1:9">
      <c r="A27" s="37" t="s">
        <v>11</v>
      </c>
      <c r="B27" s="38"/>
      <c r="C27" s="39" t="s">
        <v>105</v>
      </c>
      <c r="D27" s="40"/>
      <c r="E27" s="40"/>
      <c r="F27" s="40"/>
      <c r="G27" s="40"/>
      <c r="H27" s="40"/>
      <c r="I27" s="50"/>
    </row>
    <row r="28" ht="56" customHeight="1" spans="1:9">
      <c r="A28" s="41" t="s">
        <v>106</v>
      </c>
      <c r="B28" s="41"/>
      <c r="C28" s="41"/>
      <c r="D28" s="41"/>
      <c r="E28" s="41"/>
      <c r="F28" s="41"/>
      <c r="G28" s="41"/>
      <c r="H28" s="41"/>
      <c r="I28" s="41"/>
    </row>
    <row r="29" ht="56" customHeight="1" spans="1:9">
      <c r="A29" s="42" t="s">
        <v>107</v>
      </c>
      <c r="B29" s="41"/>
      <c r="C29" s="41"/>
      <c r="D29" s="41"/>
      <c r="E29" s="19" t="s">
        <v>108</v>
      </c>
      <c r="F29" s="41"/>
      <c r="G29" s="41"/>
      <c r="H29" s="41" t="s">
        <v>109</v>
      </c>
      <c r="I29" s="41"/>
    </row>
    <row r="30" customFormat="1" ht="27" customHeight="1" spans="1:14">
      <c r="A30" s="43" t="s">
        <v>110</v>
      </c>
      <c r="B30" s="43"/>
      <c r="C30" s="43"/>
      <c r="D30" s="43"/>
      <c r="E30" s="43"/>
      <c r="F30" s="44"/>
      <c r="G30" s="43" t="s">
        <v>111</v>
      </c>
      <c r="H30" s="43"/>
      <c r="I30" s="43"/>
      <c r="J30" s="44"/>
      <c r="K30" s="44"/>
      <c r="L30" s="44"/>
      <c r="M30" s="44"/>
      <c r="N30" s="44"/>
    </row>
  </sheetData>
  <mergeCells count="55">
    <mergeCell ref="F1:I1"/>
    <mergeCell ref="G2:I2"/>
    <mergeCell ref="G3:I3"/>
    <mergeCell ref="A5:I5"/>
    <mergeCell ref="A6:I6"/>
    <mergeCell ref="A7:B7"/>
    <mergeCell ref="C7:G7"/>
    <mergeCell ref="A8:B8"/>
    <mergeCell ref="C8:I8"/>
    <mergeCell ref="A9:B9"/>
    <mergeCell ref="C9:G9"/>
    <mergeCell ref="A10:B10"/>
    <mergeCell ref="C10:G10"/>
    <mergeCell ref="A11:B11"/>
    <mergeCell ref="C11:G11"/>
    <mergeCell ref="A12:B12"/>
    <mergeCell ref="C12:D12"/>
    <mergeCell ref="F12:G12"/>
    <mergeCell ref="A14:B14"/>
    <mergeCell ref="C14:D14"/>
    <mergeCell ref="F14:G14"/>
    <mergeCell ref="C16:D16"/>
    <mergeCell ref="C17:D17"/>
    <mergeCell ref="E17:G17"/>
    <mergeCell ref="C18:D18"/>
    <mergeCell ref="E18:G18"/>
    <mergeCell ref="C19:D19"/>
    <mergeCell ref="E19:G19"/>
    <mergeCell ref="C20:D20"/>
    <mergeCell ref="E20:G20"/>
    <mergeCell ref="C21:D21"/>
    <mergeCell ref="E21:G21"/>
    <mergeCell ref="C22:D22"/>
    <mergeCell ref="E22:G22"/>
    <mergeCell ref="C23:D23"/>
    <mergeCell ref="E23:G23"/>
    <mergeCell ref="B24:C24"/>
    <mergeCell ref="D24:E24"/>
    <mergeCell ref="B25:C25"/>
    <mergeCell ref="D25:E25"/>
    <mergeCell ref="B26:C26"/>
    <mergeCell ref="D26:E26"/>
    <mergeCell ref="A27:B27"/>
    <mergeCell ref="C27:I27"/>
    <mergeCell ref="A28:I28"/>
    <mergeCell ref="A30:E30"/>
    <mergeCell ref="G30:I30"/>
    <mergeCell ref="A1:A2"/>
    <mergeCell ref="A16:A23"/>
    <mergeCell ref="A24:A26"/>
    <mergeCell ref="B16:B17"/>
    <mergeCell ref="B18:B19"/>
    <mergeCell ref="B20:B21"/>
    <mergeCell ref="B22:B23"/>
    <mergeCell ref="B1:D2"/>
  </mergeCell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9</vt:i4>
      </vt:variant>
    </vt:vector>
  </HeadingPairs>
  <TitlesOfParts>
    <vt:vector size="9" baseType="lpstr">
      <vt:lpstr>委托单位信息</vt:lpstr>
      <vt:lpstr>砂浆配合比检测</vt:lpstr>
      <vt:lpstr>砂浆混凝土配合比（M5) </vt:lpstr>
      <vt:lpstr>砂浆混凝土配合比（M7.5)</vt:lpstr>
      <vt:lpstr>砂浆混凝土配合比（M10)</vt:lpstr>
      <vt:lpstr>砂浆混凝土配合比（M15)</vt:lpstr>
      <vt:lpstr>砂浆混凝土配合比（M20) </vt:lpstr>
      <vt:lpstr>砂浆混凝土配合比（M25) </vt:lpstr>
      <vt:lpstr>砂浆混凝土配合比（M30) </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2021-07-28T01:58:00Z</dcterms:created>
  <dcterms:modified xsi:type="dcterms:W3CDTF">2021-11-16T10:03:20Z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1D8D90CE2477429583D486101E32F61E</vt:lpwstr>
  </property>
  <property fmtid="{D5CDD505-2E9C-101B-9397-08002B2CF9AE}" pid="3" name="KSOProductBuildVer">
    <vt:lpwstr>2052-11.1.0.11045</vt:lpwstr>
  </property>
</Properties>
</file>