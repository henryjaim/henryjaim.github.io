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firstSheet="3" activeTab="5"/>
  </bookViews>
  <sheets>
    <sheet name="委托单位信息" sheetId="3" r:id="rId1"/>
    <sheet name="砌体检测" sheetId="5" r:id="rId2"/>
    <sheet name="委托单" sheetId="1" r:id="rId3"/>
    <sheet name="烧结普通砖检测报告（MU10)" sheetId="2" r:id="rId4"/>
    <sheet name="烧结普通砖检测报告（MU15) " sheetId="6" r:id="rId5"/>
    <sheet name="烧结空心砖" sheetId="7" r:id="rId6"/>
    <sheet name="150401-2020000003" sheetId="8" r:id="rId7"/>
    <sheet name="150401-2020000004" sheetId="9" r:id="rId8"/>
    <sheet name="混凝土实心砖" sheetId="4" r:id="rId9"/>
  </sheets>
  <externalReferences>
    <externalReference r:id="rId10"/>
    <externalReference r:id="rId11"/>
    <externalReference r:id="rId12"/>
    <externalReference r:id="rId13"/>
    <externalReference r:id="rId14"/>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'烧结普通砖检测报告（MU10)'!$A$1:$G$28</definedName>
    <definedName name="材料费" localSheetId="0">[4]子目!$O$4:$O$19</definedName>
    <definedName name="差旅费" localSheetId="0">[4]子目!$L$4:$L$19</definedName>
    <definedName name="地基基础检测" localSheetId="0">[5]辅助计算表!$N$3:$N$180</definedName>
    <definedName name="防水卷材" localSheetId="0">[5]辅助计算表!$R$3:$R$180</definedName>
    <definedName name="钢筋检测" localSheetId="0">[5]辅助计算表!$J$3:$J$180</definedName>
    <definedName name="钢筋接头检测" localSheetId="0">[5]辅助计算表!$K$3:$K$180</definedName>
    <definedName name="固定资产" localSheetId="0">[4]子目!$I$4:$I$19</definedName>
    <definedName name="管线检测" localSheetId="0">[5]辅助计算表!$Q$3:$Q$180</definedName>
    <definedName name="混凝土抗渗检测" localSheetId="0">[5]辅助计算表!$S$3:$S$180</definedName>
    <definedName name="混凝土抗压强度检测" localSheetId="0">[5]辅助计算表!$C$3:$C$180</definedName>
    <definedName name="混凝土配合比检测" localSheetId="0">[5]辅助计算表!$E$3:$E$180</definedName>
    <definedName name="检测类型" localSheetId="0">[5]辅助计算表!$C$2:$U$2</definedName>
    <definedName name="建筑节能检测" localSheetId="0">[5]辅助计算表!$P$3:$P$180</definedName>
    <definedName name="接待费" localSheetId="0">[4]子目!$M$4:$M$19</definedName>
    <definedName name="路基检测" localSheetId="0">[5]辅助计算表!$O$3:$O$180</definedName>
    <definedName name="砌体材料检测" localSheetId="0">[5]辅助计算表!$L$3:$L$181</definedName>
    <definedName name="人工费" localSheetId="0">[4]子目!$N$4:$N$19</definedName>
    <definedName name="砂浆抗压强度检测" localSheetId="0">[5]辅助计算表!$D$3:$D$180</definedName>
    <definedName name="砂浆配合比检测" localSheetId="0">[5]辅助计算表!$F$3:$F$180</definedName>
    <definedName name="砂料检测" localSheetId="0">[5]辅助计算表!$G$3:$G$180</definedName>
    <definedName name="实体检测" localSheetId="0">[5]辅助计算表!$M$3:$M$180</definedName>
    <definedName name="水泥检测" localSheetId="0">[5]辅助计算表!$I$3:$I$180</definedName>
    <definedName name="碎石检测" localSheetId="0">[5]辅助计算表!$H$3:$H$180</definedName>
    <definedName name="网费" localSheetId="0">[4]子目!$K$4:$K$19</definedName>
    <definedName name="维护费" localSheetId="0">[4]子目!$P$4:$P$19</definedName>
    <definedName name="项目类别" localSheetId="0">[4]子目!$I$3:$J$3</definedName>
    <definedName name="运营支出" localSheetId="0">[4]子目!$J$4:$J$190</definedName>
    <definedName name="_xlnm.Print_Area" localSheetId="8">混凝土实心砖!$A$1:$J$32</definedName>
    <definedName name="材料费" localSheetId="1">[4]子目!$O$4:$O$19</definedName>
    <definedName name="差旅费" localSheetId="1">[4]子目!$L$4:$L$19</definedName>
    <definedName name="地基基础检测" localSheetId="1">[5]辅助计算表!$N$3:$N$180</definedName>
    <definedName name="防水卷材" localSheetId="1">[5]辅助计算表!$R$3:$R$180</definedName>
    <definedName name="钢筋检测" localSheetId="1">[5]辅助计算表!$J$3:$J$180</definedName>
    <definedName name="钢筋接头检测" localSheetId="1">[5]辅助计算表!$K$3:$K$180</definedName>
    <definedName name="固定资产" localSheetId="1">[4]子目!$I$4:$I$19</definedName>
    <definedName name="管线检测" localSheetId="1">[5]辅助计算表!$Q$3:$Q$180</definedName>
    <definedName name="混凝土抗渗检测" localSheetId="1">[5]辅助计算表!$S$3:$S$180</definedName>
    <definedName name="混凝土抗压强度检测" localSheetId="1">[5]辅助计算表!$C$3:$C$180</definedName>
    <definedName name="混凝土配合比检测" localSheetId="1">[5]辅助计算表!$E$3:$E$180</definedName>
    <definedName name="检测类型" localSheetId="1">[5]辅助计算表!$C$2:$U$2</definedName>
    <definedName name="建筑节能检测" localSheetId="1">[5]辅助计算表!$P$3:$P$180</definedName>
    <definedName name="接待费" localSheetId="1">[4]子目!$M$4:$M$19</definedName>
    <definedName name="路基检测" localSheetId="1">[5]辅助计算表!$O$3:$O$180</definedName>
    <definedName name="砌体材料检测" localSheetId="1">[5]辅助计算表!$L$3:$L$181</definedName>
    <definedName name="人工费" localSheetId="1">[4]子目!$N$4:$N$19</definedName>
    <definedName name="砂浆抗压强度检测" localSheetId="1">[5]辅助计算表!$D$3:$D$180</definedName>
    <definedName name="砂浆配合比检测" localSheetId="1">[5]辅助计算表!$F$3:$F$180</definedName>
    <definedName name="砂料检测" localSheetId="1">[5]辅助计算表!$G$3:$G$180</definedName>
    <definedName name="实体检测" localSheetId="1">[5]辅助计算表!$M$3:$M$180</definedName>
    <definedName name="水泥检测" localSheetId="1">[5]辅助计算表!$I$3:$I$180</definedName>
    <definedName name="碎石检测" localSheetId="1">[5]辅助计算表!$H$3:$H$180</definedName>
    <definedName name="网费" localSheetId="1">[4]子目!$K$4:$K$19</definedName>
    <definedName name="维护费" localSheetId="1">[4]子目!$P$4:$P$19</definedName>
    <definedName name="项目类别" localSheetId="1">[4]子目!$I$3:$J$3</definedName>
    <definedName name="运营支出" localSheetId="1">[4]子目!$J$4:$J$190</definedName>
    <definedName name="_xlnm.Print_Area" localSheetId="4">'烧结普通砖检测报告（MU15) '!$A$1:$G$28</definedName>
    <definedName name="_xlnm.Print_Area" localSheetId="5">烧结空心砖!$A$1:$G$33</definedName>
    <definedName name="_xlnm.Print_Area" localSheetId="6">'150401-2020000003'!$A$1:$G$33</definedName>
    <definedName name="_xlnm.Print_Area" localSheetId="7">'150401-2020000004'!$A$1:$G$33</definedName>
  </definedNames>
  <calcPr calcId="144525"/>
</workbook>
</file>

<file path=xl/sharedStrings.xml><?xml version="1.0" encoding="utf-8"?>
<sst xmlns="http://schemas.openxmlformats.org/spreadsheetml/2006/main" count="545" uniqueCount="170">
  <si>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</si>
  <si>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</si>
  <si>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</si>
  <si>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</si>
  <si>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</si>
  <si>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</si>
  <si>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</si>
  <si>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</si>
  <si>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</si>
  <si>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</si>
  <si>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</si>
  <si>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</si>
  <si>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</si>
  <si>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</si>
  <si>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</si>
  <si>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</si>
  <si>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</si>
  <si>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</si>
  <si>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</si>
  <si>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</si>
  <si>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</si>
  <si>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</si>
  <si>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</si>
  <si>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</si>
  <si>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</si>
  <si>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</si>
  <si>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</si>
  <si>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</si>
  <si>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</si>
  <si>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</si>
  <si>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</si>
  <si>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</si>
  <si>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</si>
  <si>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</si>
  <si>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</si>
  <si>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</si>
  <si>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</si>
  <si>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兴文县麒麟苗族乡海纳村党群服务中心建设项目</t>
  </si>
  <si>
    <t>兴文县鼎立建筑工程有限公司</t>
  </si>
  <si>
    <t>——</t>
  </si>
  <si>
    <t>曾志平</t>
  </si>
  <si>
    <t>无见证取样送检</t>
  </si>
  <si>
    <t>砌体材料检测样品信息</t>
  </si>
  <si>
    <t>项目名称</t>
  </si>
  <si>
    <t>样品类型</t>
  </si>
  <si>
    <t>强度等级</t>
  </si>
  <si>
    <t>规格尺寸（mm）</t>
  </si>
  <si>
    <t>生产厂家</t>
  </si>
  <si>
    <t>使用部位</t>
  </si>
  <si>
    <t>代表批量</t>
  </si>
  <si>
    <t>检测数量</t>
  </si>
  <si>
    <t>检测编号</t>
  </si>
  <si>
    <t>送样日期</t>
  </si>
  <si>
    <t>烧结普通砖</t>
  </si>
  <si>
    <t>烧结空心砖</t>
  </si>
  <si>
    <t>MU5.0</t>
  </si>
  <si>
    <t xml:space="preserve">兴文县共乐中心镇创新文旅融合产业园建设项目（EPC) </t>
  </si>
  <si>
    <t>四川绿建西宜建设工程有限公司</t>
  </si>
  <si>
    <t>兴文僰苗文化旅游有限责任公司</t>
  </si>
  <si>
    <t>李浪</t>
  </si>
  <si>
    <t>谢松</t>
  </si>
  <si>
    <t>序号</t>
  </si>
  <si>
    <t>检测项目</t>
  </si>
  <si>
    <t>样品信息</t>
  </si>
  <si>
    <t>送检日期</t>
  </si>
  <si>
    <t>检测日期</t>
  </si>
  <si>
    <t>报告日期</t>
  </si>
  <si>
    <t>烧结普通砖抗压强度检测</t>
  </si>
  <si>
    <t>MU10</t>
  </si>
  <si>
    <t>240*115*53</t>
  </si>
  <si>
    <t>兴文县古宋镇建设村陈在红聚源建材厂</t>
  </si>
  <si>
    <t>停车场雨水口、水篦子；拖船场公园台阶基础；农旅广场花池、树池</t>
  </si>
  <si>
    <t>15万匹</t>
  </si>
  <si>
    <t>1组</t>
  </si>
  <si>
    <t>检测编号：</t>
  </si>
  <si>
    <t>150401-2021000002</t>
  </si>
  <si>
    <t xml:space="preserve"> 四川恒固建设工程检测有限公司</t>
  </si>
  <si>
    <t>地址：</t>
  </si>
  <si>
    <t>兴文县古宋镇马栏湾二组中华苑3号楼1层26户室</t>
  </si>
  <si>
    <t>TEL:</t>
  </si>
  <si>
    <t>0831-8833125</t>
  </si>
  <si>
    <t>四川恒固建设工程检测有限公司</t>
  </si>
  <si>
    <t>烧结普通砖检测报告</t>
  </si>
  <si>
    <t>四川兴文经济开发区竹产业园天然气管网工程</t>
  </si>
  <si>
    <t>兴文中能能源有限公司</t>
  </si>
  <si>
    <t>委托送样检测</t>
  </si>
  <si>
    <t>见证人及编号</t>
  </si>
  <si>
    <t>阀门井</t>
  </si>
  <si>
    <t>0.3250万匹</t>
  </si>
  <si>
    <t>兴文县太平建材制造有限公司</t>
  </si>
  <si>
    <t>型号规格（mm)</t>
  </si>
  <si>
    <t>页岩砖240×115×53</t>
  </si>
  <si>
    <t>样品状态描述</t>
  </si>
  <si>
    <t>红色；表面平整的立方体；无破损；微量孔洞。</t>
  </si>
  <si>
    <t>检测依据</t>
  </si>
  <si>
    <t>GB/T 5101-2017，GB/T 2542-2012</t>
  </si>
  <si>
    <t>标准要求</t>
  </si>
  <si>
    <t>检测结果</t>
  </si>
  <si>
    <t>单项判定</t>
  </si>
  <si>
    <t>外观质量</t>
  </si>
  <si>
    <t>—</t>
  </si>
  <si>
    <t>尺寸偏差（mm)</t>
  </si>
  <si>
    <t>5h沸煮吸水率（%）</t>
  </si>
  <si>
    <t>饱和系数</t>
  </si>
  <si>
    <t>抗压强度</t>
  </si>
  <si>
    <t>抗压强度平均值（MPa)</t>
  </si>
  <si>
    <t>合格</t>
  </si>
  <si>
    <t>抗压强度标准值（MPa)</t>
  </si>
  <si>
    <t>检测结论</t>
  </si>
  <si>
    <t>经检测，该烧结普通砖样品抗压强度达到GB/T 5101-2017中MU10的要求。</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</si>
  <si>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</si>
  <si>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</si>
  <si>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</si>
  <si>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</si>
  <si>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</si>
  <si>
    <t>150401-2021000008</t>
  </si>
  <si>
    <t>兴文县“十三五”脱贫攻坚水利扶贫建设项目—三洞桥输水主渠治理工程</t>
  </si>
  <si>
    <t>四川成渝建设有限公司</t>
  </si>
  <si>
    <t>成都市市政建设监理有限责任公司</t>
  </si>
  <si>
    <t>渠道，阀井</t>
  </si>
  <si>
    <t>兴文县兴荣砖厂</t>
  </si>
  <si>
    <t>MU15</t>
  </si>
  <si>
    <t>经检测，该烧结普通砖样品抗压强度达到GB/T 5101-2017中MU15的要求。</t>
  </si>
  <si>
    <t>150401-2020000003</t>
  </si>
  <si>
    <t>地址：兴文县古宋镇马栏湾二组中华苑3号楼1层26户室</t>
  </si>
  <si>
    <t>TEL:0831-8833125</t>
  </si>
  <si>
    <t>烧结空心砖检测报告</t>
  </si>
  <si>
    <t>主体一层至屋面层</t>
  </si>
  <si>
    <t>2.445万匹</t>
  </si>
  <si>
    <t>240×115×53</t>
  </si>
  <si>
    <t>红色；表面有凹凸槽，中间有贯通孔洞六面体；微小破损，微小裂纹，无翘曲。</t>
  </si>
  <si>
    <t>GB/T 13545-2014，GB/T 2542-2012</t>
  </si>
  <si>
    <r>
      <rPr>
        <sz val="10.5"/>
        <color theme="1"/>
        <rFont val="宋体"/>
        <charset val="134"/>
      </rPr>
      <t>密度（kg/m</t>
    </r>
    <r>
      <rPr>
        <vertAlign val="superscript"/>
        <sz val="10.5"/>
        <color theme="1"/>
        <rFont val="宋体"/>
        <charset val="134"/>
      </rPr>
      <t>3</t>
    </r>
    <r>
      <rPr>
        <sz val="10.5"/>
        <color theme="1"/>
        <rFont val="宋体"/>
        <charset val="134"/>
      </rPr>
      <t>）</t>
    </r>
  </si>
  <si>
    <t>孔洞率（%）</t>
  </si>
  <si>
    <t>变异系数</t>
  </si>
  <si>
    <t>变异系数≤0.21
抗压强度标准值（MPa）</t>
  </si>
  <si>
    <t>≥5.0</t>
  </si>
  <si>
    <t>变异系数＞0.21
最小抗压强度值（MPa)</t>
  </si>
  <si>
    <t>≥5.8</t>
  </si>
  <si>
    <t>经检测，该烧结空心砖样品抗压强度达到GB/T 13545-2014中MU7.5的要求。</t>
  </si>
  <si>
    <t>备  注</t>
  </si>
  <si>
    <t>声  明</t>
  </si>
  <si>
    <t>1.未加盖本公司“检验检测专用章”，报告无效。
2.对于送样检测，结果仅适用于委托方提供的样品。
3.对报告若有异议，应在报告收到十五日内向本公司书面提出，逾期视为对报告无异议。
4.未经本公司批准，不得复制（全文复制除外）报告。</t>
  </si>
  <si>
    <t xml:space="preserve">   签发：</t>
  </si>
  <si>
    <t>兴文二中香山校区高低压线路改造工程</t>
  </si>
  <si>
    <t>四川能投宜宾电力工程建设有限公司兴文分公司</t>
  </si>
  <si>
    <t>高压分支箱基础</t>
  </si>
  <si>
    <t>1万匹</t>
  </si>
  <si>
    <t>五星镇兴荣砖厂</t>
  </si>
  <si>
    <t>MU7.5</t>
  </si>
  <si>
    <t>150401-2020000004</t>
  </si>
  <si>
    <t>配电房主体</t>
  </si>
  <si>
    <t>2万匹</t>
  </si>
  <si>
    <t>砌体材料抗压强度检测报告</t>
  </si>
  <si>
    <t>样品来源</t>
  </si>
  <si>
    <t>试件规格及设计强度等级</t>
  </si>
  <si>
    <t>砌体种类</t>
  </si>
  <si>
    <t>混凝土实心砖</t>
  </si>
  <si>
    <t>生产厂名</t>
  </si>
  <si>
    <t>试样状态</t>
  </si>
  <si>
    <t>灰色；表面平整的立方体；无破损，微量孔洞。</t>
  </si>
  <si>
    <t>GB/T 2542-2012</t>
  </si>
  <si>
    <t>试样编号</t>
  </si>
  <si>
    <t>破坏荷载（kN）</t>
  </si>
  <si>
    <t>抗压强度单个值（MPa）</t>
  </si>
  <si>
    <t>备   注</t>
  </si>
  <si>
    <t>委托方要求按GB/T2542-2012进行检测，只提供检测结果，不做判定。</t>
  </si>
  <si>
    <t>声   明</t>
  </si>
  <si>
    <t>1.未加盖本公司“检验检测专业章”，报告无效。
2.对于送样检测，结果仅适用于委托方提供的样品。
3.对报告若有异议，应在报告收到十五日内向本公司书面提出，逾期视为对报告无异议。
4.未经本公司批准，不得复制（全文复制除外）报告。</t>
  </si>
  <si>
    <t xml:space="preserve">   第1页 共1页</t>
  </si>
</sst>
</file>

<file path=xl/styles.xml><?xml version="1.0" encoding="utf-8"?>
<styleSheet xmlns="http://schemas.openxmlformats.org/spreadsheetml/2006/main">
  <numFmts count="8">
    <numFmt numFmtId="176" formatCode="yyyy\-mm\-dd"/>
    <numFmt numFmtId="42" formatCode="_ &quot;￥&quot;* #,##0_ ;_ &quot;￥&quot;* \-#,##0_ ;_ &quot;￥&quot;* &quot;-&quot;_ ;_ @_ "/>
    <numFmt numFmtId="43" formatCode="_ * #,##0.00_ ;_ * \-#,##0.00_ ;_ * &quot;-&quot;??_ ;_ @_ "/>
    <numFmt numFmtId="44" formatCode="_ &quot;￥&quot;* #,##0.00_ ;_ &quot;￥&quot;* \-#,##0.00_ ;_ &quot;￥&quot;* &quot;-&quot;??_ ;_ @_ "/>
    <numFmt numFmtId="177" formatCode="yyyy/mm/dd"/>
    <numFmt numFmtId="41" formatCode="_ * #,##0_ ;_ * \-#,##0_ ;_ * &quot;-&quot;_ ;_ @_ "/>
    <numFmt numFmtId="178" formatCode="0.0_ "/>
    <numFmt numFmtId="179" formatCode="0.00_ "/>
  </numFmts>
  <fonts count="34">
    <font>
      <sz val="11"/>
      <color theme="1"/>
      <name val="宋体"/>
      <charset val="134"/>
      <scheme val="minor"/>
    </font>
    <font>
      <sz val="8"/>
      <color theme="1"/>
      <name val="宋体"/>
      <charset val="134"/>
      <scheme val="minor"/>
    </font>
    <font>
      <sz val="10"/>
      <color theme="1"/>
      <name val="宋体"/>
      <charset val="134"/>
      <scheme val="minor"/>
    </font>
    <font>
      <b/>
      <sz val="18"/>
      <color theme="1"/>
      <name val="宋体"/>
      <charset val="134"/>
      <scheme val="minor"/>
    </font>
    <font>
      <sz val="9"/>
      <color theme="1"/>
      <name val="宋体"/>
      <charset val="134"/>
      <scheme val="minor"/>
    </font>
    <font>
      <sz val="16"/>
      <color theme="1"/>
      <name val="宋体"/>
      <charset val="134"/>
    </font>
    <font>
      <b/>
      <sz val="20"/>
      <color theme="1"/>
      <name val="宋体"/>
      <charset val="134"/>
    </font>
    <font>
      <sz val="11"/>
      <color theme="1"/>
      <name val="宋体"/>
      <charset val="134"/>
    </font>
    <font>
      <sz val="10.5"/>
      <color theme="1"/>
      <name val="宋体"/>
      <charset val="134"/>
    </font>
    <font>
      <sz val="9"/>
      <color theme="1"/>
      <name val="宋体"/>
      <charset val="134"/>
    </font>
    <font>
      <b/>
      <sz val="14"/>
      <color theme="1"/>
      <name val="宋体"/>
      <charset val="134"/>
      <scheme val="minor"/>
    </font>
    <font>
      <b/>
      <sz val="11"/>
      <color theme="1"/>
      <name val="宋体"/>
      <charset val="134"/>
      <scheme val="minor"/>
    </font>
    <font>
      <b/>
      <sz val="16"/>
      <color theme="1"/>
      <name val="宋体"/>
      <charset val="134"/>
      <scheme val="minor"/>
    </font>
    <font>
      <sz val="12"/>
      <color theme="1"/>
      <name val="宋体"/>
      <charset val="134"/>
    </font>
    <font>
      <sz val="11"/>
      <color theme="0"/>
      <name val="宋体"/>
      <charset val="0"/>
      <scheme val="minor"/>
    </font>
    <font>
      <sz val="11"/>
      <color theme="1"/>
      <name val="宋体"/>
      <charset val="0"/>
      <scheme val="minor"/>
    </font>
    <font>
      <b/>
      <sz val="11"/>
      <color theme="3"/>
      <name val="宋体"/>
      <charset val="134"/>
      <scheme val="minor"/>
    </font>
    <font>
      <u/>
      <sz val="11"/>
      <color rgb="FF0000FF"/>
      <name val="宋体"/>
      <charset val="0"/>
      <scheme val="minor"/>
    </font>
    <font>
      <sz val="11"/>
      <color rgb="FFFF0000"/>
      <name val="宋体"/>
      <charset val="0"/>
      <scheme val="minor"/>
    </font>
    <font>
      <u/>
      <sz val="11"/>
      <color rgb="FF800080"/>
      <name val="宋体"/>
      <charset val="0"/>
      <scheme val="minor"/>
    </font>
    <font>
      <sz val="11"/>
      <color rgb="FF3F3F76"/>
      <name val="宋体"/>
      <charset val="0"/>
      <scheme val="minor"/>
    </font>
    <font>
      <b/>
      <sz val="11"/>
      <color rgb="FFFA7D00"/>
      <name val="宋体"/>
      <charset val="0"/>
      <scheme val="minor"/>
    </font>
    <font>
      <b/>
      <sz val="11"/>
      <color rgb="FF3F3F3F"/>
      <name val="宋体"/>
      <charset val="0"/>
      <scheme val="minor"/>
    </font>
    <font>
      <sz val="11"/>
      <color rgb="FF9C0006"/>
      <name val="宋体"/>
      <charset val="0"/>
      <scheme val="minor"/>
    </font>
    <font>
      <b/>
      <sz val="18"/>
      <color theme="3"/>
      <name val="宋体"/>
      <charset val="134"/>
      <scheme val="minor"/>
    </font>
    <font>
      <sz val="11"/>
      <color rgb="FF006100"/>
      <name val="宋体"/>
      <charset val="0"/>
      <scheme val="minor"/>
    </font>
    <font>
      <sz val="11"/>
      <color rgb="FFFA7D00"/>
      <name val="宋体"/>
      <charset val="0"/>
      <scheme val="minor"/>
    </font>
    <font>
      <i/>
      <sz val="11"/>
      <color rgb="FF7F7F7F"/>
      <name val="宋体"/>
      <charset val="0"/>
      <scheme val="minor"/>
    </font>
    <font>
      <b/>
      <sz val="11"/>
      <color theme="1"/>
      <name val="宋体"/>
      <charset val="0"/>
      <scheme val="minor"/>
    </font>
    <font>
      <b/>
      <sz val="13"/>
      <color theme="3"/>
      <name val="宋体"/>
      <charset val="134"/>
      <scheme val="minor"/>
    </font>
    <font>
      <b/>
      <sz val="15"/>
      <color theme="3"/>
      <name val="宋体"/>
      <charset val="134"/>
      <scheme val="minor"/>
    </font>
    <font>
      <sz val="11"/>
      <color rgb="FF9C6500"/>
      <name val="宋体"/>
      <charset val="0"/>
      <scheme val="minor"/>
    </font>
    <font>
      <b/>
      <sz val="11"/>
      <color rgb="FFFFFFFF"/>
      <name val="宋体"/>
      <charset val="0"/>
      <scheme val="minor"/>
    </font>
    <font>
      <vertAlign val="superscript"/>
      <sz val="10.5"/>
      <color theme="1"/>
      <name val="宋体"/>
      <charset val="134"/>
    </font>
  </fonts>
  <fills count="33">
    <fill>
      <patternFill patternType="none"/>
    </fill>
    <fill>
      <patternFill patternType="gray125"/>
    </fill>
    <fill>
      <patternFill patternType="solid">
        <fgColor theme="6" tint="0.399975585192419"/>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FFC7CE"/>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4"/>
        <bgColor indexed="64"/>
      </patternFill>
    </fill>
    <fill>
      <patternFill patternType="solid">
        <fgColor rgb="FFC6EFCE"/>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5"/>
        <bgColor indexed="64"/>
      </patternFill>
    </fill>
    <fill>
      <patternFill patternType="solid">
        <fgColor theme="8" tint="0.799981688894314"/>
        <bgColor indexed="64"/>
      </patternFill>
    </fill>
    <fill>
      <patternFill patternType="solid">
        <fgColor theme="6"/>
        <bgColor indexed="64"/>
      </patternFill>
    </fill>
    <fill>
      <patternFill patternType="solid">
        <fgColor theme="7"/>
        <bgColor indexed="64"/>
      </patternFill>
    </fill>
    <fill>
      <patternFill patternType="solid">
        <fgColor theme="7" tint="0.599993896298105"/>
        <bgColor indexed="64"/>
      </patternFill>
    </fill>
    <fill>
      <patternFill patternType="solid">
        <fgColor theme="9" tint="0.399975585192419"/>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s>
  <borders count="22">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right/>
      <top/>
      <bottom style="medium">
        <color theme="4" tint="0.499984740745262"/>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20" fillId="7" borderId="1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10" borderId="0" applyNumberFormat="0" applyBorder="0" applyAlignment="0" applyProtection="0">
      <alignment vertical="center"/>
    </xf>
    <xf numFmtId="0" fontId="23" fillId="9" borderId="0" applyNumberFormat="0" applyBorder="0" applyAlignment="0" applyProtection="0">
      <alignment vertical="center"/>
    </xf>
    <xf numFmtId="43" fontId="0" fillId="0" borderId="0" applyFont="0" applyFill="0" applyBorder="0" applyAlignment="0" applyProtection="0">
      <alignment vertical="center"/>
    </xf>
    <xf numFmtId="0" fontId="14" fillId="2" borderId="0" applyNumberFormat="0" applyBorder="0" applyAlignment="0" applyProtection="0">
      <alignment vertical="center"/>
    </xf>
    <xf numFmtId="0" fontId="17" fillId="0" borderId="0" applyNumberFormat="0" applyFill="0" applyBorder="0" applyAlignment="0" applyProtection="0">
      <alignment vertical="center"/>
    </xf>
    <xf numFmtId="9" fontId="0" fillId="0" borderId="0" applyFont="0" applyFill="0" applyBorder="0" applyAlignment="0" applyProtection="0">
      <alignment vertical="center"/>
    </xf>
    <xf numFmtId="0" fontId="19" fillId="0" borderId="0" applyNumberFormat="0" applyFill="0" applyBorder="0" applyAlignment="0" applyProtection="0">
      <alignment vertical="center"/>
    </xf>
    <xf numFmtId="0" fontId="0" fillId="6" borderId="14" applyNumberFormat="0" applyFont="0" applyAlignment="0" applyProtection="0">
      <alignment vertical="center"/>
    </xf>
    <xf numFmtId="0" fontId="14" fillId="12" borderId="0" applyNumberFormat="0" applyBorder="0" applyAlignment="0" applyProtection="0">
      <alignment vertical="center"/>
    </xf>
    <xf numFmtId="0" fontId="16"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0" fillId="0" borderId="20" applyNumberFormat="0" applyFill="0" applyAlignment="0" applyProtection="0">
      <alignment vertical="center"/>
    </xf>
    <xf numFmtId="0" fontId="29" fillId="0" borderId="20" applyNumberFormat="0" applyFill="0" applyAlignment="0" applyProtection="0">
      <alignment vertical="center"/>
    </xf>
    <xf numFmtId="0" fontId="14" fillId="16" borderId="0" applyNumberFormat="0" applyBorder="0" applyAlignment="0" applyProtection="0">
      <alignment vertical="center"/>
    </xf>
    <xf numFmtId="0" fontId="16" fillId="0" borderId="19" applyNumberFormat="0" applyFill="0" applyAlignment="0" applyProtection="0">
      <alignment vertical="center"/>
    </xf>
    <xf numFmtId="0" fontId="14" fillId="18" borderId="0" applyNumberFormat="0" applyBorder="0" applyAlignment="0" applyProtection="0">
      <alignment vertical="center"/>
    </xf>
    <xf numFmtId="0" fontId="22" fillId="8" borderId="16" applyNumberFormat="0" applyAlignment="0" applyProtection="0">
      <alignment vertical="center"/>
    </xf>
    <xf numFmtId="0" fontId="21" fillId="8" borderId="15" applyNumberFormat="0" applyAlignment="0" applyProtection="0">
      <alignment vertical="center"/>
    </xf>
    <xf numFmtId="0" fontId="32" fillId="20" borderId="21" applyNumberFormat="0" applyAlignment="0" applyProtection="0">
      <alignment vertical="center"/>
    </xf>
    <xf numFmtId="0" fontId="15" fillId="21" borderId="0" applyNumberFormat="0" applyBorder="0" applyAlignment="0" applyProtection="0">
      <alignment vertical="center"/>
    </xf>
    <xf numFmtId="0" fontId="14" fillId="23" borderId="0" applyNumberFormat="0" applyBorder="0" applyAlignment="0" applyProtection="0">
      <alignment vertical="center"/>
    </xf>
    <xf numFmtId="0" fontId="26" fillId="0" borderId="17" applyNumberFormat="0" applyFill="0" applyAlignment="0" applyProtection="0">
      <alignment vertical="center"/>
    </xf>
    <xf numFmtId="0" fontId="28" fillId="0" borderId="18" applyNumberFormat="0" applyFill="0" applyAlignment="0" applyProtection="0">
      <alignment vertical="center"/>
    </xf>
    <xf numFmtId="0" fontId="25" fillId="14" borderId="0" applyNumberFormat="0" applyBorder="0" applyAlignment="0" applyProtection="0">
      <alignment vertical="center"/>
    </xf>
    <xf numFmtId="0" fontId="31" fillId="19" borderId="0" applyNumberFormat="0" applyBorder="0" applyAlignment="0" applyProtection="0">
      <alignment vertical="center"/>
    </xf>
    <xf numFmtId="0" fontId="15" fillId="24" borderId="0" applyNumberFormat="0" applyBorder="0" applyAlignment="0" applyProtection="0">
      <alignment vertical="center"/>
    </xf>
    <xf numFmtId="0" fontId="14" fillId="13" borderId="0" applyNumberFormat="0" applyBorder="0" applyAlignment="0" applyProtection="0">
      <alignment vertical="center"/>
    </xf>
    <xf numFmtId="0" fontId="15" fillId="5" borderId="0" applyNumberFormat="0" applyBorder="0" applyAlignment="0" applyProtection="0">
      <alignment vertical="center"/>
    </xf>
    <xf numFmtId="0" fontId="15" fillId="11" borderId="0" applyNumberFormat="0" applyBorder="0" applyAlignment="0" applyProtection="0">
      <alignment vertical="center"/>
    </xf>
    <xf numFmtId="0" fontId="15" fillId="22" borderId="0" applyNumberFormat="0" applyBorder="0" applyAlignment="0" applyProtection="0">
      <alignment vertical="center"/>
    </xf>
    <xf numFmtId="0" fontId="15" fillId="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5" fillId="15" borderId="0" applyNumberFormat="0" applyBorder="0" applyAlignment="0" applyProtection="0">
      <alignment vertical="center"/>
    </xf>
    <xf numFmtId="0" fontId="15" fillId="27" borderId="0" applyNumberFormat="0" applyBorder="0" applyAlignment="0" applyProtection="0">
      <alignment vertical="center"/>
    </xf>
    <xf numFmtId="0" fontId="14" fillId="29" borderId="0" applyNumberFormat="0" applyBorder="0" applyAlignment="0" applyProtection="0">
      <alignment vertical="center"/>
    </xf>
    <xf numFmtId="0" fontId="15"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5" fillId="17" borderId="0" applyNumberFormat="0" applyBorder="0" applyAlignment="0" applyProtection="0">
      <alignment vertical="center"/>
    </xf>
    <xf numFmtId="0" fontId="14" fillId="28" borderId="0" applyNumberFormat="0" applyBorder="0" applyAlignment="0" applyProtection="0">
      <alignment vertical="center"/>
    </xf>
  </cellStyleXfs>
  <cellXfs count="85">
    <xf numFmtId="0" fontId="0" fillId="0" borderId="0" xfId="0">
      <alignment vertical="center"/>
    </xf>
    <xf numFmtId="0" fontId="0" fillId="0" borderId="0" xfId="0" applyAlignment="1">
      <alignment horizontal="center" vertical="center"/>
    </xf>
    <xf numFmtId="0" fontId="0" fillId="0" borderId="1" xfId="0" applyBorder="1" applyAlignment="1">
      <alignment horizontal="right" vertical="center"/>
    </xf>
    <xf numFmtId="0" fontId="0" fillId="0" borderId="2" xfId="0" applyBorder="1" applyAlignment="1">
      <alignment horizontal="righ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left" vertical="center"/>
    </xf>
    <xf numFmtId="0" fontId="0" fillId="0" borderId="4" xfId="0" applyBorder="1" applyAlignment="1">
      <alignment horizontal="right" vertical="center"/>
    </xf>
    <xf numFmtId="0" fontId="0" fillId="0" borderId="5" xfId="0" applyBorder="1" applyAlignment="1">
      <alignment horizontal="right" vertical="center"/>
    </xf>
    <xf numFmtId="0" fontId="0" fillId="0" borderId="5" xfId="0" applyBorder="1" applyAlignment="1">
      <alignment horizontal="center" vertical="center"/>
    </xf>
    <xf numFmtId="0" fontId="0" fillId="0" borderId="6" xfId="0" applyBorder="1" applyAlignment="1">
      <alignment horizontal="center" vertical="center"/>
    </xf>
    <xf numFmtId="0" fontId="1"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center" vertical="center"/>
    </xf>
    <xf numFmtId="0" fontId="0" fillId="0" borderId="7" xfId="0" applyFont="1" applyBorder="1" applyAlignment="1">
      <alignment horizontal="center" vertical="center"/>
    </xf>
    <xf numFmtId="0" fontId="0" fillId="0" borderId="7" xfId="0" applyBorder="1" applyAlignment="1">
      <alignment horizontal="center" vertical="center"/>
    </xf>
    <xf numFmtId="0" fontId="0" fillId="0" borderId="7" xfId="0" applyFont="1" applyBorder="1" applyAlignment="1">
      <alignment horizontal="center" vertical="center" wrapText="1"/>
    </xf>
    <xf numFmtId="0" fontId="2" fillId="0" borderId="7" xfId="0" applyFont="1" applyBorder="1" applyAlignment="1">
      <alignment horizontal="left" vertical="center" wrapText="1"/>
    </xf>
    <xf numFmtId="0" fontId="0" fillId="0" borderId="7" xfId="0" applyBorder="1" applyAlignment="1">
      <alignment horizontal="left" vertical="center"/>
    </xf>
    <xf numFmtId="0" fontId="0" fillId="0" borderId="8" xfId="0" applyFont="1" applyBorder="1" applyAlignment="1">
      <alignment horizontal="center" vertical="center"/>
    </xf>
    <xf numFmtId="0" fontId="0" fillId="0" borderId="9" xfId="0" applyFont="1" applyBorder="1" applyAlignment="1">
      <alignment horizontal="center" vertical="center"/>
    </xf>
    <xf numFmtId="0" fontId="0" fillId="0" borderId="0" xfId="0" applyAlignment="1">
      <alignment horizontal="right" vertical="center"/>
    </xf>
    <xf numFmtId="178" fontId="0" fillId="0" borderId="0" xfId="0" applyNumberFormat="1">
      <alignment vertical="center"/>
    </xf>
    <xf numFmtId="0" fontId="2" fillId="0" borderId="0" xfId="0" applyFont="1" applyAlignment="1">
      <alignment horizontal="center" vertical="center"/>
    </xf>
    <xf numFmtId="0" fontId="0" fillId="0" borderId="0" xfId="0" applyFill="1" applyAlignment="1">
      <alignment horizontal="center" vertical="center"/>
    </xf>
    <xf numFmtId="0" fontId="0" fillId="0" borderId="0" xfId="0" applyFill="1" applyAlignment="1">
      <alignment vertical="center"/>
    </xf>
    <xf numFmtId="0" fontId="0" fillId="0" borderId="8" xfId="0" applyFill="1" applyBorder="1" applyAlignment="1">
      <alignment horizontal="right" vertical="center" wrapText="1"/>
    </xf>
    <xf numFmtId="0" fontId="0" fillId="0" borderId="10" xfId="0" applyFill="1" applyBorder="1" applyAlignment="1">
      <alignment horizontal="right" vertical="center" wrapText="1"/>
    </xf>
    <xf numFmtId="0" fontId="0" fillId="0" borderId="10" xfId="0" applyFill="1" applyBorder="1" applyAlignment="1">
      <alignment horizontal="left" vertical="center" wrapText="1"/>
    </xf>
    <xf numFmtId="0" fontId="0" fillId="0" borderId="9" xfId="0" applyFill="1" applyBorder="1" applyAlignment="1">
      <alignment horizontal="left" vertical="center" wrapText="1"/>
    </xf>
    <xf numFmtId="0" fontId="2" fillId="0" borderId="0" xfId="0" applyFont="1" applyFill="1" applyAlignment="1">
      <alignment vertical="center" wrapText="1"/>
    </xf>
    <xf numFmtId="0" fontId="2" fillId="0" borderId="0" xfId="0" applyFont="1" applyFill="1" applyAlignment="1">
      <alignment horizontal="left" vertical="center" wrapText="1"/>
    </xf>
    <xf numFmtId="0" fontId="1" fillId="0" borderId="0" xfId="0" applyFont="1" applyFill="1" applyAlignment="1">
      <alignment horizontal="right" vertical="center" wrapText="1"/>
    </xf>
    <xf numFmtId="0" fontId="1" fillId="0" borderId="0" xfId="0" applyFont="1" applyFill="1" applyAlignment="1">
      <alignment horizontal="left" vertical="center"/>
    </xf>
    <xf numFmtId="0" fontId="0" fillId="0" borderId="5" xfId="0" applyFill="1" applyBorder="1" applyAlignment="1">
      <alignment horizontal="center" vertical="center"/>
    </xf>
    <xf numFmtId="0" fontId="0" fillId="0" borderId="5" xfId="0" applyFill="1" applyBorder="1" applyAlignment="1">
      <alignment horizontal="center" vertical="center" wrapText="1"/>
    </xf>
    <xf numFmtId="0" fontId="1" fillId="0" borderId="5" xfId="0" applyFont="1" applyFill="1" applyBorder="1" applyAlignment="1">
      <alignment horizontal="right" vertical="center"/>
    </xf>
    <xf numFmtId="0" fontId="4" fillId="0" borderId="5" xfId="0" applyFont="1" applyFill="1" applyBorder="1" applyAlignment="1">
      <alignment horizontal="left" vertical="center"/>
    </xf>
    <xf numFmtId="0" fontId="0" fillId="0" borderId="0" xfId="0" applyFill="1" applyAlignment="1">
      <alignment horizontal="center" vertical="center" wrapText="1"/>
    </xf>
    <xf numFmtId="0" fontId="4" fillId="0" borderId="0" xfId="0" applyFont="1" applyFill="1" applyAlignment="1">
      <alignment horizontal="left" vertical="center"/>
    </xf>
    <xf numFmtId="0" fontId="5" fillId="0" borderId="0" xfId="0" applyFont="1" applyFill="1" applyAlignment="1">
      <alignment horizontal="center" vertical="center"/>
    </xf>
    <xf numFmtId="0" fontId="6" fillId="0" borderId="0" xfId="0" applyFont="1" applyFill="1" applyAlignment="1">
      <alignment horizontal="center" vertical="center"/>
    </xf>
    <xf numFmtId="0" fontId="7" fillId="0" borderId="7" xfId="0" applyFont="1" applyFill="1" applyBorder="1" applyAlignment="1">
      <alignment horizontal="center" vertical="center" wrapText="1"/>
    </xf>
    <xf numFmtId="0" fontId="7" fillId="0" borderId="7" xfId="0" applyFont="1" applyFill="1" applyBorder="1" applyAlignment="1">
      <alignment horizontal="left" vertical="center" wrapText="1"/>
    </xf>
    <xf numFmtId="177" fontId="7" fillId="0" borderId="7" xfId="0" applyNumberFormat="1" applyFont="1" applyFill="1" applyBorder="1" applyAlignment="1">
      <alignment horizontal="center" vertical="center" wrapText="1"/>
    </xf>
    <xf numFmtId="176" fontId="7" fillId="0" borderId="7" xfId="0" applyNumberFormat="1"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7" xfId="0" applyFont="1" applyFill="1" applyBorder="1" applyAlignment="1">
      <alignment horizontal="left" vertical="center" wrapText="1"/>
    </xf>
    <xf numFmtId="0" fontId="8" fillId="0" borderId="8" xfId="0" applyFont="1" applyFill="1" applyBorder="1" applyAlignment="1">
      <alignment horizontal="center" vertical="center" wrapText="1"/>
    </xf>
    <xf numFmtId="0" fontId="8" fillId="0" borderId="10" xfId="0" applyFont="1" applyFill="1" applyBorder="1" applyAlignment="1">
      <alignment horizontal="center" vertical="center" wrapText="1"/>
    </xf>
    <xf numFmtId="0" fontId="8" fillId="0" borderId="9" xfId="0" applyFont="1" applyFill="1" applyBorder="1" applyAlignment="1">
      <alignment horizontal="center" vertical="center" wrapText="1"/>
    </xf>
    <xf numFmtId="0" fontId="8" fillId="0" borderId="11" xfId="0" applyFont="1" applyFill="1" applyBorder="1" applyAlignment="1">
      <alignment horizontal="center" vertical="center" textRotation="255" wrapText="1"/>
    </xf>
    <xf numFmtId="0" fontId="8" fillId="0" borderId="11" xfId="0" applyFont="1" applyFill="1" applyBorder="1" applyAlignment="1">
      <alignment horizontal="center" vertical="center" wrapText="1"/>
    </xf>
    <xf numFmtId="0" fontId="8" fillId="0" borderId="12" xfId="0" applyFont="1" applyFill="1" applyBorder="1" applyAlignment="1">
      <alignment horizontal="center" vertical="center" textRotation="255" wrapText="1"/>
    </xf>
    <xf numFmtId="0" fontId="8" fillId="0" borderId="12" xfId="0" applyFont="1" applyFill="1" applyBorder="1" applyAlignment="1">
      <alignment horizontal="center" vertical="center" wrapText="1"/>
    </xf>
    <xf numFmtId="178"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textRotation="255" wrapText="1"/>
    </xf>
    <xf numFmtId="0" fontId="8" fillId="0" borderId="13" xfId="0" applyFont="1" applyFill="1" applyBorder="1" applyAlignment="1">
      <alignment horizontal="center" vertical="center" wrapText="1"/>
    </xf>
    <xf numFmtId="0" fontId="0" fillId="0" borderId="7" xfId="0" applyFill="1" applyBorder="1" applyAlignment="1">
      <alignment horizontal="center" vertical="center"/>
    </xf>
    <xf numFmtId="0" fontId="0" fillId="0" borderId="7" xfId="0" applyFill="1" applyBorder="1" applyAlignment="1">
      <alignment horizontal="left" vertical="center"/>
    </xf>
    <xf numFmtId="0" fontId="9" fillId="0" borderId="7" xfId="0" applyFont="1" applyFill="1" applyBorder="1" applyAlignment="1">
      <alignment horizontal="center" vertical="center" wrapText="1"/>
    </xf>
    <xf numFmtId="0" fontId="9" fillId="0" borderId="7" xfId="0" applyFont="1" applyFill="1" applyBorder="1" applyAlignment="1">
      <alignment horizontal="left" vertical="center" wrapText="1"/>
    </xf>
    <xf numFmtId="0" fontId="9" fillId="0" borderId="0" xfId="0" applyFont="1" applyFill="1" applyAlignment="1">
      <alignment horizontal="center" vertical="center" wrapText="1"/>
    </xf>
    <xf numFmtId="0" fontId="9" fillId="0" borderId="0" xfId="0" applyFont="1" applyFill="1" applyAlignment="1">
      <alignment horizontal="left" vertical="center" wrapText="1"/>
    </xf>
    <xf numFmtId="0" fontId="2" fillId="0" borderId="0" xfId="0" applyFont="1" applyFill="1" applyAlignment="1">
      <alignment horizontal="center" vertical="center" wrapText="1"/>
    </xf>
    <xf numFmtId="0" fontId="8" fillId="0" borderId="7" xfId="0" applyFont="1" applyFill="1" applyBorder="1" applyAlignment="1">
      <alignment horizontal="center" vertical="center" textRotation="255" wrapText="1"/>
    </xf>
    <xf numFmtId="0" fontId="2" fillId="0" borderId="0" xfId="0" applyFont="1" applyFill="1" applyAlignment="1">
      <alignment horizontal="right" vertical="center" wrapText="1"/>
    </xf>
    <xf numFmtId="179" fontId="8" fillId="0" borderId="7" xfId="0" applyNumberFormat="1" applyFont="1" applyFill="1" applyBorder="1" applyAlignment="1">
      <alignment horizontal="center" vertical="center" wrapText="1"/>
    </xf>
    <xf numFmtId="0" fontId="10" fillId="0" borderId="0" xfId="0" applyFont="1" applyAlignment="1">
      <alignment horizontal="center" vertical="center"/>
    </xf>
    <xf numFmtId="0" fontId="8" fillId="0" borderId="0" xfId="0" applyFont="1" applyBorder="1" applyAlignment="1">
      <alignment horizontal="center" vertical="center" wrapText="1"/>
    </xf>
    <xf numFmtId="0" fontId="0" fillId="0" borderId="11" xfId="0" applyBorder="1" applyAlignment="1">
      <alignment horizontal="center" vertical="center"/>
    </xf>
    <xf numFmtId="0" fontId="0" fillId="0" borderId="13" xfId="0" applyBorder="1" applyAlignment="1">
      <alignment horizontal="center" vertical="center"/>
    </xf>
    <xf numFmtId="0" fontId="8" fillId="0" borderId="7" xfId="0" applyFont="1" applyBorder="1" applyAlignment="1">
      <alignment horizontal="center" vertical="center" wrapText="1"/>
    </xf>
    <xf numFmtId="0" fontId="8" fillId="0" borderId="7"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14" fontId="0" fillId="0" borderId="0" xfId="0" applyNumberForma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xf>
    <xf numFmtId="0" fontId="0" fillId="0" borderId="0" xfId="0" applyAlignment="1">
      <alignment horizontal="center" vertical="center" wrapText="1"/>
    </xf>
    <xf numFmtId="0" fontId="0" fillId="0" borderId="0" xfId="0" applyFont="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center" vertical="center"/>
    </xf>
    <xf numFmtId="0" fontId="0" fillId="0" borderId="0" xfId="0" applyAlignment="1">
      <alignment vertical="center" wrapText="1"/>
    </xf>
    <xf numFmtId="0" fontId="8"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haredStrings" Target="sharedStrings.xml"/><Relationship Id="rId16" Type="http://schemas.openxmlformats.org/officeDocument/2006/relationships/styles" Target="styles.xml"/><Relationship Id="rId15" Type="http://schemas.openxmlformats.org/officeDocument/2006/relationships/theme" Target="theme/theme1.xml"/><Relationship Id="rId14" Type="http://schemas.openxmlformats.org/officeDocument/2006/relationships/externalLink" Target="externalLinks/externalLink5.xml"/><Relationship Id="rId13" Type="http://schemas.openxmlformats.org/officeDocument/2006/relationships/externalLink" Target="externalLinks/externalLink4.xml"/><Relationship Id="rId12" Type="http://schemas.openxmlformats.org/officeDocument/2006/relationships/externalLink" Target="externalLinks/externalLink3.xml"/><Relationship Id="rId11" Type="http://schemas.openxmlformats.org/officeDocument/2006/relationships/externalLink" Target="externalLinks/externalLink2.xml"/><Relationship Id="rId10" Type="http://schemas.openxmlformats.org/officeDocument/2006/relationships/externalLink" Target="externalLinks/externalLink1.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3.jpe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4" Type="http://schemas.openxmlformats.org/officeDocument/2006/relationships/image" Target="../media/image6.png"/><Relationship Id="rId3" Type="http://schemas.openxmlformats.org/officeDocument/2006/relationships/image" Target="../media/image5.jpeg"/><Relationship Id="rId2" Type="http://schemas.openxmlformats.org/officeDocument/2006/relationships/image" Target="../media/image3.jpe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3.jpe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2676525</xdr:colOff>
          <xdr:row>1</xdr:row>
          <xdr:rowOff>28575</xdr:rowOff>
        </xdr:from>
        <xdr:to>
          <xdr:col>2</xdr:col>
          <xdr:colOff>19050</xdr:colOff>
          <xdr:row>1</xdr:row>
          <xdr:rowOff>313690</xdr:rowOff>
        </xdr:to>
        <xdr:sp>
          <xdr:nvSpPr>
            <xdr:cNvPr id="2049" name="CommandButton1" hidden="1">
              <a:extLst>
                <a:ext uri="{63B3BB69-23CF-44E3-9099-C40C66FF867C}">
                  <a14:compatExt spid="_x0000_s2049"/>
                </a:ext>
              </a:extLst>
            </xdr:cNvPr>
            <xdr:cNvSpPr/>
          </xdr:nvSpPr>
          <xdr:spPr>
            <a:xfrm>
              <a:off x="3362325" y="409575"/>
              <a:ext cx="1704975" cy="28511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27</xdr:row>
      <xdr:rowOff>11430</xdr:rowOff>
    </xdr:from>
    <xdr:to>
      <xdr:col>2</xdr:col>
      <xdr:colOff>697230</xdr:colOff>
      <xdr:row>27</xdr:row>
      <xdr:rowOff>440690</xdr:rowOff>
    </xdr:to>
    <xdr:pic>
      <xdr:nvPicPr>
        <xdr:cNvPr id="3" name="图片 2" descr="熊茂"/>
        <xdr:cNvPicPr>
          <a:picLocks noChangeAspect="1"/>
        </xdr:cNvPicPr>
      </xdr:nvPicPr>
      <xdr:blipFill>
        <a:blip r:embed="rId1"/>
        <a:stretch>
          <a:fillRect/>
        </a:stretch>
      </xdr:blipFill>
      <xdr:spPr>
        <a:xfrm>
          <a:off x="1152525" y="9453880"/>
          <a:ext cx="697230" cy="429260"/>
        </a:xfrm>
        <a:prstGeom prst="rect">
          <a:avLst/>
        </a:prstGeom>
      </xdr:spPr>
    </xdr:pic>
    <xdr:clientData/>
  </xdr:twoCellAnchor>
  <xdr:twoCellAnchor editAs="oneCell">
    <xdr:from>
      <xdr:col>4</xdr:col>
      <xdr:colOff>914400</xdr:colOff>
      <xdr:row>26</xdr:row>
      <xdr:rowOff>485775</xdr:rowOff>
    </xdr:from>
    <xdr:to>
      <xdr:col>5</xdr:col>
      <xdr:colOff>347980</xdr:colOff>
      <xdr:row>27</xdr:row>
      <xdr:rowOff>480695</xdr:rowOff>
    </xdr:to>
    <xdr:pic>
      <xdr:nvPicPr>
        <xdr:cNvPr id="4" name="图片 3" descr="邓志华"/>
        <xdr:cNvPicPr>
          <a:picLocks noChangeAspect="1"/>
        </xdr:cNvPicPr>
      </xdr:nvPicPr>
      <xdr:blipFill>
        <a:blip r:embed="rId2"/>
        <a:stretch>
          <a:fillRect/>
        </a:stretch>
      </xdr:blipFill>
      <xdr:spPr>
        <a:xfrm>
          <a:off x="3629025" y="9432925"/>
          <a:ext cx="852805" cy="490220"/>
        </a:xfrm>
        <a:prstGeom prst="rect">
          <a:avLst/>
        </a:prstGeom>
      </xdr:spPr>
    </xdr:pic>
    <xdr:clientData/>
  </xdr:twoCellAnchor>
  <xdr:twoCellAnchor editAs="oneCell">
    <xdr:from>
      <xdr:col>6</xdr:col>
      <xdr:colOff>447675</xdr:colOff>
      <xdr:row>27</xdr:row>
      <xdr:rowOff>57785</xdr:rowOff>
    </xdr:from>
    <xdr:to>
      <xdr:col>6</xdr:col>
      <xdr:colOff>1097915</xdr:colOff>
      <xdr:row>27</xdr:row>
      <xdr:rowOff>447040</xdr:rowOff>
    </xdr:to>
    <xdr:pic>
      <xdr:nvPicPr>
        <xdr:cNvPr id="5" name="图片 4" descr="吴雪琦"/>
        <xdr:cNvPicPr>
          <a:picLocks noChangeAspect="1"/>
        </xdr:cNvPicPr>
      </xdr:nvPicPr>
      <xdr:blipFill>
        <a:blip r:embed="rId3"/>
        <a:stretch>
          <a:fillRect/>
        </a:stretch>
      </xdr:blipFill>
      <xdr:spPr>
        <a:xfrm>
          <a:off x="5648325" y="9500235"/>
          <a:ext cx="650240" cy="389255"/>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27</xdr:row>
      <xdr:rowOff>11430</xdr:rowOff>
    </xdr:from>
    <xdr:to>
      <xdr:col>2</xdr:col>
      <xdr:colOff>696595</xdr:colOff>
      <xdr:row>27</xdr:row>
      <xdr:rowOff>440055</xdr:rowOff>
    </xdr:to>
    <xdr:pic>
      <xdr:nvPicPr>
        <xdr:cNvPr id="2" name="图片 1" descr="熊茂"/>
        <xdr:cNvPicPr>
          <a:picLocks noChangeAspect="1"/>
        </xdr:cNvPicPr>
      </xdr:nvPicPr>
      <xdr:blipFill>
        <a:blip r:embed="rId1"/>
        <a:stretch>
          <a:fillRect/>
        </a:stretch>
      </xdr:blipFill>
      <xdr:spPr>
        <a:xfrm>
          <a:off x="1152525" y="9453880"/>
          <a:ext cx="696595" cy="428625"/>
        </a:xfrm>
        <a:prstGeom prst="rect">
          <a:avLst/>
        </a:prstGeom>
      </xdr:spPr>
    </xdr:pic>
    <xdr:clientData/>
  </xdr:twoCellAnchor>
  <xdr:twoCellAnchor editAs="oneCell">
    <xdr:from>
      <xdr:col>4</xdr:col>
      <xdr:colOff>914400</xdr:colOff>
      <xdr:row>26</xdr:row>
      <xdr:rowOff>485775</xdr:rowOff>
    </xdr:from>
    <xdr:to>
      <xdr:col>5</xdr:col>
      <xdr:colOff>347345</xdr:colOff>
      <xdr:row>27</xdr:row>
      <xdr:rowOff>480060</xdr:rowOff>
    </xdr:to>
    <xdr:pic>
      <xdr:nvPicPr>
        <xdr:cNvPr id="3" name="图片 2" descr="邓志华"/>
        <xdr:cNvPicPr>
          <a:picLocks noChangeAspect="1"/>
        </xdr:cNvPicPr>
      </xdr:nvPicPr>
      <xdr:blipFill>
        <a:blip r:embed="rId2"/>
        <a:stretch>
          <a:fillRect/>
        </a:stretch>
      </xdr:blipFill>
      <xdr:spPr>
        <a:xfrm>
          <a:off x="3629025" y="9432925"/>
          <a:ext cx="852170" cy="489585"/>
        </a:xfrm>
        <a:prstGeom prst="rect">
          <a:avLst/>
        </a:prstGeom>
      </xdr:spPr>
    </xdr:pic>
    <xdr:clientData/>
  </xdr:twoCellAnchor>
  <xdr:twoCellAnchor editAs="oneCell">
    <xdr:from>
      <xdr:col>6</xdr:col>
      <xdr:colOff>447675</xdr:colOff>
      <xdr:row>27</xdr:row>
      <xdr:rowOff>11430</xdr:rowOff>
    </xdr:from>
    <xdr:to>
      <xdr:col>6</xdr:col>
      <xdr:colOff>1104900</xdr:colOff>
      <xdr:row>27</xdr:row>
      <xdr:rowOff>431800</xdr:rowOff>
    </xdr:to>
    <xdr:pic>
      <xdr:nvPicPr>
        <xdr:cNvPr id="5" name="图片 4" descr="曹雪"/>
        <xdr:cNvPicPr>
          <a:picLocks noChangeAspect="1"/>
        </xdr:cNvPicPr>
      </xdr:nvPicPr>
      <xdr:blipFill>
        <a:blip r:embed="rId3"/>
        <a:stretch>
          <a:fillRect/>
        </a:stretch>
      </xdr:blipFill>
      <xdr:spPr>
        <a:xfrm>
          <a:off x="5648325" y="9453880"/>
          <a:ext cx="657225" cy="42037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247650</xdr:colOff>
      <xdr:row>31</xdr:row>
      <xdr:rowOff>25400</xdr:rowOff>
    </xdr:from>
    <xdr:to>
      <xdr:col>2</xdr:col>
      <xdr:colOff>181610</xdr:colOff>
      <xdr:row>32</xdr:row>
      <xdr:rowOff>351790</xdr:rowOff>
    </xdr:to>
    <xdr:pic>
      <xdr:nvPicPr>
        <xdr:cNvPr id="2" name="图片 1" descr="熊茂"/>
        <xdr:cNvPicPr>
          <a:picLocks noChangeAspect="1"/>
        </xdr:cNvPicPr>
      </xdr:nvPicPr>
      <xdr:blipFill>
        <a:blip r:embed="rId1"/>
        <a:stretch>
          <a:fillRect/>
        </a:stretch>
      </xdr:blipFill>
      <xdr:spPr>
        <a:xfrm>
          <a:off x="638175" y="9137650"/>
          <a:ext cx="695960" cy="427990"/>
        </a:xfrm>
        <a:prstGeom prst="rect">
          <a:avLst/>
        </a:prstGeom>
      </xdr:spPr>
    </xdr:pic>
    <xdr:clientData/>
  </xdr:twoCellAnchor>
  <xdr:twoCellAnchor editAs="oneCell">
    <xdr:from>
      <xdr:col>4</xdr:col>
      <xdr:colOff>523875</xdr:colOff>
      <xdr:row>31</xdr:row>
      <xdr:rowOff>92075</xdr:rowOff>
    </xdr:from>
    <xdr:to>
      <xdr:col>5</xdr:col>
      <xdr:colOff>194310</xdr:colOff>
      <xdr:row>32</xdr:row>
      <xdr:rowOff>479425</xdr:rowOff>
    </xdr:to>
    <xdr:pic>
      <xdr:nvPicPr>
        <xdr:cNvPr id="3" name="图片 2" descr="邓志华"/>
        <xdr:cNvPicPr>
          <a:picLocks noChangeAspect="1"/>
        </xdr:cNvPicPr>
      </xdr:nvPicPr>
      <xdr:blipFill>
        <a:blip r:embed="rId2"/>
        <a:stretch>
          <a:fillRect/>
        </a:stretch>
      </xdr:blipFill>
      <xdr:spPr>
        <a:xfrm>
          <a:off x="3238500" y="9204325"/>
          <a:ext cx="851535" cy="488950"/>
        </a:xfrm>
        <a:prstGeom prst="rect">
          <a:avLst/>
        </a:prstGeom>
      </xdr:spPr>
    </xdr:pic>
    <xdr:clientData/>
  </xdr:twoCellAnchor>
  <xdr:twoCellAnchor editAs="oneCell">
    <xdr:from>
      <xdr:col>6</xdr:col>
      <xdr:colOff>447675</xdr:colOff>
      <xdr:row>32</xdr:row>
      <xdr:rowOff>11430</xdr:rowOff>
    </xdr:from>
    <xdr:to>
      <xdr:col>6</xdr:col>
      <xdr:colOff>1104265</xdr:colOff>
      <xdr:row>32</xdr:row>
      <xdr:rowOff>431165</xdr:rowOff>
    </xdr:to>
    <xdr:pic>
      <xdr:nvPicPr>
        <xdr:cNvPr id="4" name="图片 3" descr="曹雪"/>
        <xdr:cNvPicPr>
          <a:picLocks noChangeAspect="1"/>
        </xdr:cNvPicPr>
      </xdr:nvPicPr>
      <xdr:blipFill>
        <a:blip r:embed="rId3"/>
        <a:stretch>
          <a:fillRect/>
        </a:stretch>
      </xdr:blipFill>
      <xdr:spPr>
        <a:xfrm>
          <a:off x="5638800" y="9225280"/>
          <a:ext cx="656590" cy="419735"/>
        </a:xfrm>
        <a:prstGeom prst="rect">
          <a:avLst/>
        </a:prstGeom>
      </xdr:spPr>
    </xdr:pic>
    <xdr:clientData/>
  </xdr:twoCellAnchor>
  <xdr:twoCellAnchor editAs="oneCell">
    <xdr:from>
      <xdr:col>4</xdr:col>
      <xdr:colOff>342900</xdr:colOff>
      <xdr:row>0</xdr:row>
      <xdr:rowOff>28575</xdr:rowOff>
    </xdr:from>
    <xdr:to>
      <xdr:col>4</xdr:col>
      <xdr:colOff>882650</xdr:colOff>
      <xdr:row>3</xdr:row>
      <xdr:rowOff>57150</xdr:rowOff>
    </xdr:to>
    <xdr:pic>
      <xdr:nvPicPr>
        <xdr:cNvPr id="5" name="图片 4" descr="httpshenryjaim.github.ioDQFWDQ1215150401-2020000003.html"/>
        <xdr:cNvPicPr>
          <a:picLocks noChangeAspect="1"/>
        </xdr:cNvPicPr>
      </xdr:nvPicPr>
      <xdr:blipFill>
        <a:blip r:embed="rId4"/>
        <a:stretch>
          <a:fillRect/>
        </a:stretch>
      </xdr:blipFill>
      <xdr:spPr>
        <a:xfrm>
          <a:off x="3057525" y="28575"/>
          <a:ext cx="539750" cy="542925"/>
        </a:xfrm>
        <a:prstGeom prst="rect">
          <a:avLst/>
        </a:prstGeom>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247650</xdr:colOff>
      <xdr:row>31</xdr:row>
      <xdr:rowOff>25400</xdr:rowOff>
    </xdr:from>
    <xdr:to>
      <xdr:col>2</xdr:col>
      <xdr:colOff>180975</xdr:colOff>
      <xdr:row>32</xdr:row>
      <xdr:rowOff>351155</xdr:rowOff>
    </xdr:to>
    <xdr:pic>
      <xdr:nvPicPr>
        <xdr:cNvPr id="2" name="图片 1" descr="熊茂"/>
        <xdr:cNvPicPr>
          <a:picLocks noChangeAspect="1"/>
        </xdr:cNvPicPr>
      </xdr:nvPicPr>
      <xdr:blipFill>
        <a:blip r:embed="rId1"/>
        <a:stretch>
          <a:fillRect/>
        </a:stretch>
      </xdr:blipFill>
      <xdr:spPr>
        <a:xfrm>
          <a:off x="638175" y="9137650"/>
          <a:ext cx="695325" cy="427355"/>
        </a:xfrm>
        <a:prstGeom prst="rect">
          <a:avLst/>
        </a:prstGeom>
      </xdr:spPr>
    </xdr:pic>
    <xdr:clientData/>
  </xdr:twoCellAnchor>
  <xdr:twoCellAnchor editAs="oneCell">
    <xdr:from>
      <xdr:col>4</xdr:col>
      <xdr:colOff>523875</xdr:colOff>
      <xdr:row>31</xdr:row>
      <xdr:rowOff>92075</xdr:rowOff>
    </xdr:from>
    <xdr:to>
      <xdr:col>5</xdr:col>
      <xdr:colOff>193675</xdr:colOff>
      <xdr:row>32</xdr:row>
      <xdr:rowOff>478790</xdr:rowOff>
    </xdr:to>
    <xdr:pic>
      <xdr:nvPicPr>
        <xdr:cNvPr id="3" name="图片 2" descr="邓志华"/>
        <xdr:cNvPicPr>
          <a:picLocks noChangeAspect="1"/>
        </xdr:cNvPicPr>
      </xdr:nvPicPr>
      <xdr:blipFill>
        <a:blip r:embed="rId2"/>
        <a:stretch>
          <a:fillRect/>
        </a:stretch>
      </xdr:blipFill>
      <xdr:spPr>
        <a:xfrm>
          <a:off x="3238500" y="9204325"/>
          <a:ext cx="850900" cy="488315"/>
        </a:xfrm>
        <a:prstGeom prst="rect">
          <a:avLst/>
        </a:prstGeom>
      </xdr:spPr>
    </xdr:pic>
    <xdr:clientData/>
  </xdr:twoCellAnchor>
  <xdr:twoCellAnchor editAs="oneCell">
    <xdr:from>
      <xdr:col>6</xdr:col>
      <xdr:colOff>447675</xdr:colOff>
      <xdr:row>32</xdr:row>
      <xdr:rowOff>11430</xdr:rowOff>
    </xdr:from>
    <xdr:to>
      <xdr:col>6</xdr:col>
      <xdr:colOff>1103630</xdr:colOff>
      <xdr:row>32</xdr:row>
      <xdr:rowOff>430530</xdr:rowOff>
    </xdr:to>
    <xdr:pic>
      <xdr:nvPicPr>
        <xdr:cNvPr id="4" name="图片 3" descr="曹雪"/>
        <xdr:cNvPicPr>
          <a:picLocks noChangeAspect="1"/>
        </xdr:cNvPicPr>
      </xdr:nvPicPr>
      <xdr:blipFill>
        <a:blip r:embed="rId3"/>
        <a:stretch>
          <a:fillRect/>
        </a:stretch>
      </xdr:blipFill>
      <xdr:spPr>
        <a:xfrm>
          <a:off x="5638800" y="9225280"/>
          <a:ext cx="655955" cy="419100"/>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247650</xdr:colOff>
      <xdr:row>31</xdr:row>
      <xdr:rowOff>25400</xdr:rowOff>
    </xdr:from>
    <xdr:to>
      <xdr:col>2</xdr:col>
      <xdr:colOff>180340</xdr:colOff>
      <xdr:row>32</xdr:row>
      <xdr:rowOff>350520</xdr:rowOff>
    </xdr:to>
    <xdr:pic>
      <xdr:nvPicPr>
        <xdr:cNvPr id="2" name="图片 1" descr="熊茂"/>
        <xdr:cNvPicPr>
          <a:picLocks noChangeAspect="1"/>
        </xdr:cNvPicPr>
      </xdr:nvPicPr>
      <xdr:blipFill>
        <a:blip r:embed="rId1"/>
        <a:stretch>
          <a:fillRect/>
        </a:stretch>
      </xdr:blipFill>
      <xdr:spPr>
        <a:xfrm>
          <a:off x="638175" y="9137650"/>
          <a:ext cx="694690" cy="426720"/>
        </a:xfrm>
        <a:prstGeom prst="rect">
          <a:avLst/>
        </a:prstGeom>
      </xdr:spPr>
    </xdr:pic>
    <xdr:clientData/>
  </xdr:twoCellAnchor>
  <xdr:twoCellAnchor editAs="oneCell">
    <xdr:from>
      <xdr:col>4</xdr:col>
      <xdr:colOff>523875</xdr:colOff>
      <xdr:row>31</xdr:row>
      <xdr:rowOff>92075</xdr:rowOff>
    </xdr:from>
    <xdr:to>
      <xdr:col>5</xdr:col>
      <xdr:colOff>193040</xdr:colOff>
      <xdr:row>32</xdr:row>
      <xdr:rowOff>478155</xdr:rowOff>
    </xdr:to>
    <xdr:pic>
      <xdr:nvPicPr>
        <xdr:cNvPr id="3" name="图片 2" descr="邓志华"/>
        <xdr:cNvPicPr>
          <a:picLocks noChangeAspect="1"/>
        </xdr:cNvPicPr>
      </xdr:nvPicPr>
      <xdr:blipFill>
        <a:blip r:embed="rId2"/>
        <a:stretch>
          <a:fillRect/>
        </a:stretch>
      </xdr:blipFill>
      <xdr:spPr>
        <a:xfrm>
          <a:off x="3238500" y="9204325"/>
          <a:ext cx="850265" cy="487680"/>
        </a:xfrm>
        <a:prstGeom prst="rect">
          <a:avLst/>
        </a:prstGeom>
      </xdr:spPr>
    </xdr:pic>
    <xdr:clientData/>
  </xdr:twoCellAnchor>
  <xdr:twoCellAnchor editAs="oneCell">
    <xdr:from>
      <xdr:col>6</xdr:col>
      <xdr:colOff>447675</xdr:colOff>
      <xdr:row>32</xdr:row>
      <xdr:rowOff>11430</xdr:rowOff>
    </xdr:from>
    <xdr:to>
      <xdr:col>6</xdr:col>
      <xdr:colOff>1102995</xdr:colOff>
      <xdr:row>32</xdr:row>
      <xdr:rowOff>429895</xdr:rowOff>
    </xdr:to>
    <xdr:pic>
      <xdr:nvPicPr>
        <xdr:cNvPr id="4" name="图片 3" descr="曹雪"/>
        <xdr:cNvPicPr>
          <a:picLocks noChangeAspect="1"/>
        </xdr:cNvPicPr>
      </xdr:nvPicPr>
      <xdr:blipFill>
        <a:blip r:embed="rId3"/>
        <a:stretch>
          <a:fillRect/>
        </a:stretch>
      </xdr:blipFill>
      <xdr:spPr>
        <a:xfrm>
          <a:off x="5638800" y="9225280"/>
          <a:ext cx="655320" cy="4184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849;&#20139;&#25991;&#20214;&#22841;\&#20852;&#25991;&#24658;&#22266;&#26816;&#27979;&#26377;&#38480;&#20844;&#21496;-&#26446;&#20426;\&#25215;&#25509;&#19994;&#21153;\&#39033;&#30446;&#31649;&#29702;\2021&#24180;\&#25253;&#21578;&#27169;&#26495;\&#25253;&#21578;&#27169;&#26495;.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工程信息"/>
      <sheetName val="烧结普通砖检测报告"/>
      <sheetName val="混凝土配合比"/>
      <sheetName val="砂料检测报告"/>
      <sheetName val="石料检测报告"/>
      <sheetName val="水泥检测报告(PO42.5)"/>
      <sheetName val="水泥检测报告 (M32.5)"/>
      <sheetName val="混凝土抗压强度检测报告"/>
      <sheetName val="水工混凝土抗压强度检测报告"/>
      <sheetName val="水工砂浆抗压强度检测报告"/>
      <sheetName val="热轧带肋钢筋性能检测报告"/>
      <sheetName val="热轧光圆钢筋性能检测报告 "/>
      <sheetName val="石材抗压强度检测报告"/>
      <sheetName val="砂浆临时配合比"/>
      <sheetName val="混凝土临时配合比"/>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XES1000"/>
  <sheetViews>
    <sheetView topLeftCell="B1" workbookViewId="0">
      <selection activeCell="C10" sqref="C10"/>
    </sheetView>
  </sheetViews>
  <sheetFormatPr defaultColWidth="9" defaultRowHeight="13.5"/>
  <cols>
    <col min="1" max="1" width="9" style="79"/>
    <col min="2" max="2" width="57.25" style="79" customWidth="1"/>
    <col min="3" max="3" width="21.5" style="79" customWidth="1"/>
    <col min="4" max="4" width="17.125" style="79" customWidth="1"/>
    <col min="5" max="5" width="27.375" style="79" customWidth="1"/>
    <col min="6" max="6" width="9" style="79"/>
    <col min="7" max="7" width="12.625" style="79"/>
    <col min="8" max="8" width="9" style="79"/>
    <col min="9" max="9" width="12.625" style="79"/>
    <col min="10" max="10" width="15.25" style="79" customWidth="1"/>
    <col min="11" max="16383" width="9" style="79"/>
  </cols>
  <sheetData>
    <row r="1" ht="30" customHeight="1" spans="1:11">
      <c r="A1" s="77" t="s">
        <v>0</v>
      </c>
      <c r="B1" s="77"/>
      <c r="C1" s="77"/>
      <c r="D1" s="77"/>
      <c r="E1" s="77"/>
      <c r="F1" s="77"/>
      <c r="G1" s="77"/>
      <c r="H1" s="77"/>
      <c r="I1" s="77"/>
      <c r="J1" s="77"/>
      <c r="K1" s="77"/>
    </row>
    <row r="2" s="77" customFormat="1" ht="25" customHeight="1" spans="1:11">
      <c r="A2" s="77" t="s">
        <v>1</v>
      </c>
      <c r="B2" s="77" t="s">
        <v>2</v>
      </c>
      <c r="C2" s="77" t="s">
        <v>3</v>
      </c>
      <c r="D2" s="77" t="s">
        <v>4</v>
      </c>
      <c r="E2" s="77" t="s">
        <v>5</v>
      </c>
      <c r="F2" s="77" t="s">
        <v>6</v>
      </c>
      <c r="G2" s="77" t="s">
        <v>7</v>
      </c>
      <c r="H2" s="77" t="s">
        <v>8</v>
      </c>
      <c r="I2" s="77" t="s">
        <v>9</v>
      </c>
      <c r="J2" s="77" t="s">
        <v>10</v>
      </c>
      <c r="K2" s="77" t="s">
        <v>11</v>
      </c>
    </row>
    <row r="3" ht="25" customHeight="1" spans="1:16373">
      <c r="A3" s="79" t="s">
        <v>12</v>
      </c>
      <c r="B3" s="79" t="s">
        <v>13</v>
      </c>
      <c r="C3" s="79" t="s">
        <v>14</v>
      </c>
      <c r="D3" s="79" t="s">
        <v>14</v>
      </c>
      <c r="E3" s="79" t="s">
        <v>15</v>
      </c>
      <c r="F3" s="81" t="s">
        <v>16</v>
      </c>
      <c r="G3" s="79">
        <v>18228131927</v>
      </c>
      <c r="H3" s="79" t="s">
        <v>17</v>
      </c>
      <c r="I3" s="79">
        <v>17323288028</v>
      </c>
      <c r="J3" s="79" t="str">
        <f t="shared" ref="J3:J9" si="0">IF(F3&lt;&gt;"——","有见证取样送检","委托送样检测")</f>
        <v>有见证取样送检</v>
      </c>
      <c r="XES3"/>
    </row>
    <row r="4" ht="25" customHeight="1" spans="1:16373">
      <c r="A4" s="79" t="s">
        <v>18</v>
      </c>
      <c r="B4" s="79" t="s">
        <v>19</v>
      </c>
      <c r="C4" s="79" t="s">
        <v>14</v>
      </c>
      <c r="D4" s="79" t="s">
        <v>14</v>
      </c>
      <c r="E4" s="82" t="s">
        <v>20</v>
      </c>
      <c r="F4" s="82" t="s">
        <v>21</v>
      </c>
      <c r="G4" s="82">
        <v>15884546766</v>
      </c>
      <c r="H4" s="82" t="s">
        <v>22</v>
      </c>
      <c r="I4" s="82">
        <v>18128131927</v>
      </c>
      <c r="J4" s="79" t="str">
        <f t="shared" si="0"/>
        <v>有见证取样送检</v>
      </c>
      <c r="XES4"/>
    </row>
    <row r="5" ht="25" customHeight="1" spans="1:16373">
      <c r="A5" s="79" t="s">
        <v>23</v>
      </c>
      <c r="B5" s="82" t="s">
        <v>24</v>
      </c>
      <c r="C5" s="79" t="s">
        <v>14</v>
      </c>
      <c r="D5" s="79" t="s">
        <v>14</v>
      </c>
      <c r="E5" s="82" t="s">
        <v>20</v>
      </c>
      <c r="F5" s="82" t="s">
        <v>21</v>
      </c>
      <c r="G5" s="82">
        <v>15884546766</v>
      </c>
      <c r="H5" s="82" t="s">
        <v>22</v>
      </c>
      <c r="I5" s="82">
        <v>18128131927</v>
      </c>
      <c r="J5" s="79" t="str">
        <f t="shared" si="0"/>
        <v>有见证取样送检</v>
      </c>
      <c r="XES5"/>
    </row>
    <row r="6" ht="25" customHeight="1" spans="1:16373">
      <c r="A6" s="79" t="s">
        <v>25</v>
      </c>
      <c r="B6" s="82" t="s">
        <v>26</v>
      </c>
      <c r="C6" s="79" t="s">
        <v>14</v>
      </c>
      <c r="D6" s="79" t="s">
        <v>14</v>
      </c>
      <c r="E6" s="82" t="s">
        <v>20</v>
      </c>
      <c r="F6" s="82" t="s">
        <v>21</v>
      </c>
      <c r="G6" s="82">
        <v>15884546766</v>
      </c>
      <c r="H6" s="82" t="s">
        <v>22</v>
      </c>
      <c r="I6" s="82">
        <v>18128131927</v>
      </c>
      <c r="J6" s="79" t="str">
        <f t="shared" si="0"/>
        <v>有见证取样送检</v>
      </c>
      <c r="XES6"/>
    </row>
    <row r="7" ht="25" customHeight="1" spans="1:16373">
      <c r="A7" s="79" t="s">
        <v>27</v>
      </c>
      <c r="B7" s="82" t="s">
        <v>28</v>
      </c>
      <c r="C7" s="79" t="s">
        <v>14</v>
      </c>
      <c r="D7" s="79" t="s">
        <v>14</v>
      </c>
      <c r="E7" s="82" t="s">
        <v>20</v>
      </c>
      <c r="F7" s="82" t="s">
        <v>21</v>
      </c>
      <c r="G7" s="82">
        <v>15884546766</v>
      </c>
      <c r="H7" s="82" t="s">
        <v>22</v>
      </c>
      <c r="I7" s="82">
        <v>18128131927</v>
      </c>
      <c r="J7" s="79" t="str">
        <f t="shared" si="0"/>
        <v>有见证取样送检</v>
      </c>
      <c r="XES7"/>
    </row>
    <row r="8" ht="25" customHeight="1" spans="1:16373">
      <c r="A8" s="79" t="s">
        <v>29</v>
      </c>
      <c r="B8" s="80" t="s">
        <v>30</v>
      </c>
      <c r="C8" s="79" t="s">
        <v>14</v>
      </c>
      <c r="D8" s="79" t="s">
        <v>14</v>
      </c>
      <c r="E8" s="82" t="s">
        <v>20</v>
      </c>
      <c r="F8" s="82" t="s">
        <v>21</v>
      </c>
      <c r="G8" s="82">
        <v>15884546766</v>
      </c>
      <c r="H8" s="82" t="s">
        <v>22</v>
      </c>
      <c r="I8" s="82">
        <v>18128131927</v>
      </c>
      <c r="J8" s="79" t="str">
        <f t="shared" si="0"/>
        <v>有见证取样送检</v>
      </c>
      <c r="XES8"/>
    </row>
    <row r="9" ht="25" customHeight="1" spans="1:16373">
      <c r="A9" s="79" t="s">
        <v>31</v>
      </c>
      <c r="B9" s="1" t="s">
        <v>32</v>
      </c>
      <c r="C9" s="1" t="s">
        <v>33</v>
      </c>
      <c r="D9" s="1" t="s">
        <v>33</v>
      </c>
      <c r="E9" s="1" t="s">
        <v>34</v>
      </c>
      <c r="F9" s="1" t="s">
        <v>35</v>
      </c>
      <c r="G9" s="1">
        <v>15288669020</v>
      </c>
      <c r="H9" s="1" t="s">
        <v>36</v>
      </c>
      <c r="I9" s="84">
        <v>18182238027</v>
      </c>
      <c r="J9" s="79" t="str">
        <f t="shared" si="0"/>
        <v>有见证取样送检</v>
      </c>
      <c r="XES9"/>
    </row>
    <row r="10" ht="25" customHeight="1" spans="1:16373">
      <c r="A10"/>
      <c r="B10" s="83" t="s">
        <v>37</v>
      </c>
      <c r="C10" s="83" t="s">
        <v>38</v>
      </c>
      <c r="D10" s="83" t="s">
        <v>38</v>
      </c>
      <c r="E10" s="83" t="s">
        <v>39</v>
      </c>
      <c r="F10" s="83" t="s">
        <v>39</v>
      </c>
      <c r="G10" s="83" t="s">
        <v>39</v>
      </c>
      <c r="H10" s="79" t="s">
        <v>40</v>
      </c>
      <c r="I10" s="83">
        <v>13890951229</v>
      </c>
      <c r="J10" s="83" t="s">
        <v>41</v>
      </c>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1</xdr:col>
                <xdr:colOff>2676525</xdr:colOff>
                <xdr:row>1</xdr:row>
                <xdr:rowOff>28575</xdr:rowOff>
              </from>
              <to>
                <xdr:col>2</xdr:col>
                <xdr:colOff>19050</xdr:colOff>
                <xdr:row>1</xdr:row>
                <xdr:rowOff>313690</xdr:rowOff>
              </to>
            </anchor>
          </controlPr>
        </control>
      </mc:Choice>
      <mc:Fallback>
        <control shapeId="2049"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workbookViewId="0">
      <selection activeCell="E4" sqref="E4"/>
    </sheetView>
  </sheetViews>
  <sheetFormatPr defaultColWidth="9" defaultRowHeight="13.5" outlineLevelRow="3"/>
  <cols>
    <col min="1" max="1" width="9" style="1"/>
    <col min="2" max="2" width="27.75" style="1" customWidth="1"/>
    <col min="3" max="3" width="13" style="1" customWidth="1"/>
    <col min="4" max="4" width="9.875" style="1" customWidth="1"/>
    <col min="5" max="5" width="9" style="1"/>
    <col min="6" max="11" width="9.875" style="1" customWidth="1"/>
    <col min="12" max="16384" width="9" style="1"/>
  </cols>
  <sheetData>
    <row r="1" ht="25" customHeight="1" spans="1:11">
      <c r="A1" s="78" t="s">
        <v>42</v>
      </c>
      <c r="B1" s="78"/>
      <c r="C1" s="78"/>
      <c r="D1" s="78"/>
      <c r="E1" s="78"/>
      <c r="F1" s="78"/>
      <c r="G1" s="78"/>
      <c r="H1" s="78"/>
      <c r="I1" s="78"/>
      <c r="J1" s="78"/>
      <c r="K1" s="78"/>
    </row>
    <row r="2" s="77" customFormat="1" ht="30" customHeight="1" spans="1:11">
      <c r="A2" s="77" t="s">
        <v>1</v>
      </c>
      <c r="B2" s="77" t="s">
        <v>43</v>
      </c>
      <c r="C2" s="77" t="s">
        <v>44</v>
      </c>
      <c r="D2" s="77" t="s">
        <v>45</v>
      </c>
      <c r="E2" s="77" t="s">
        <v>46</v>
      </c>
      <c r="F2" s="77" t="s">
        <v>47</v>
      </c>
      <c r="G2" s="77" t="s">
        <v>48</v>
      </c>
      <c r="H2" s="77" t="s">
        <v>49</v>
      </c>
      <c r="I2" s="77" t="s">
        <v>50</v>
      </c>
      <c r="J2" s="77" t="s">
        <v>51</v>
      </c>
      <c r="K2" s="77" t="s">
        <v>52</v>
      </c>
    </row>
    <row r="3" ht="110.25" spans="1:3">
      <c r="A3" s="79" t="s">
        <v>29</v>
      </c>
      <c r="B3" s="80" t="s">
        <v>30</v>
      </c>
      <c r="C3" s="1" t="s">
        <v>53</v>
      </c>
    </row>
    <row r="4" ht="27" spans="1:4">
      <c r="A4" s="79" t="s">
        <v>31</v>
      </c>
      <c r="B4" s="79" t="s">
        <v>37</v>
      </c>
      <c r="C4" s="1" t="s">
        <v>54</v>
      </c>
      <c r="D4" s="1" t="s">
        <v>55</v>
      </c>
    </row>
  </sheetData>
  <mergeCells count="1">
    <mergeCell ref="A1:K1"/>
  </mergeCells>
  <dataValidations count="1">
    <dataValidation type="list" allowBlank="1" showInputMessage="1" showErrorMessage="1" sqref="C3 C4:C21">
      <formula1>"烧结普通砖,烧结多孔砖和多孔砌块,烧结空心砖和空心砌块,石材,混凝土免烧砖"</formula1>
    </dataValidation>
  </dataValidation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L13"/>
  <sheetViews>
    <sheetView workbookViewId="0">
      <pane xSplit="2" ySplit="8" topLeftCell="C9" activePane="bottomRight" state="frozen"/>
      <selection/>
      <selection pane="topRight"/>
      <selection pane="bottomLeft"/>
      <selection pane="bottomRight" activeCell="A1" sqref="A1:I1"/>
    </sheetView>
  </sheetViews>
  <sheetFormatPr defaultColWidth="9" defaultRowHeight="13.5"/>
  <cols>
    <col min="1" max="1" width="9" style="1"/>
    <col min="2" max="2" width="25.25" style="1" customWidth="1"/>
    <col min="3" max="3" width="12.5" style="1" customWidth="1"/>
    <col min="4" max="4" width="15.5" style="1" customWidth="1"/>
    <col min="5" max="5" width="23.75" style="1" customWidth="1"/>
    <col min="6" max="6" width="18.875" style="1" customWidth="1"/>
    <col min="7" max="9" width="9" style="1"/>
    <col min="10" max="10" width="10.375" style="1"/>
    <col min="11" max="11" width="12.5" style="1" customWidth="1"/>
    <col min="12" max="12" width="10.375" style="1"/>
    <col min="13" max="16384" width="9" style="1"/>
  </cols>
  <sheetData>
    <row r="1" ht="27" customHeight="1" spans="1:9">
      <c r="A1" s="68" t="s">
        <v>56</v>
      </c>
      <c r="B1" s="68"/>
      <c r="C1" s="68"/>
      <c r="D1" s="68"/>
      <c r="E1" s="68"/>
      <c r="F1" s="68"/>
      <c r="G1" s="68"/>
      <c r="H1" s="68"/>
      <c r="I1" s="68"/>
    </row>
    <row r="2" ht="25" customHeight="1" spans="1:2">
      <c r="A2" s="1" t="s">
        <v>3</v>
      </c>
      <c r="B2" s="1" t="s">
        <v>57</v>
      </c>
    </row>
    <row r="3" ht="25" customHeight="1" spans="1:2">
      <c r="A3" s="1" t="s">
        <v>4</v>
      </c>
      <c r="B3" s="1" t="s">
        <v>57</v>
      </c>
    </row>
    <row r="4" ht="25" customHeight="1" spans="1:2">
      <c r="A4" s="1" t="s">
        <v>5</v>
      </c>
      <c r="B4" s="1" t="s">
        <v>58</v>
      </c>
    </row>
    <row r="5" ht="25" customHeight="1" spans="1:6">
      <c r="A5" s="1" t="s">
        <v>6</v>
      </c>
      <c r="B5" s="1" t="s">
        <v>59</v>
      </c>
      <c r="E5" s="69" t="s">
        <v>7</v>
      </c>
      <c r="F5" s="1">
        <v>18048460602</v>
      </c>
    </row>
    <row r="6" ht="25" customHeight="1" spans="1:6">
      <c r="A6" s="1" t="s">
        <v>8</v>
      </c>
      <c r="B6" s="1" t="s">
        <v>60</v>
      </c>
      <c r="E6" s="69" t="s">
        <v>9</v>
      </c>
      <c r="F6" s="1">
        <v>18284850370</v>
      </c>
    </row>
    <row r="7" ht="25" customHeight="1" spans="1:9">
      <c r="A7" s="70" t="s">
        <v>61</v>
      </c>
      <c r="B7" s="15" t="s">
        <v>62</v>
      </c>
      <c r="C7" s="15" t="s">
        <v>63</v>
      </c>
      <c r="D7" s="15"/>
      <c r="E7" s="15"/>
      <c r="F7" s="15"/>
      <c r="G7" s="15"/>
      <c r="H7" s="15"/>
      <c r="I7" s="15"/>
    </row>
    <row r="8" ht="25" customHeight="1" spans="1:12">
      <c r="A8" s="71"/>
      <c r="B8" s="15"/>
      <c r="C8" s="72" t="s">
        <v>45</v>
      </c>
      <c r="D8" s="72" t="s">
        <v>46</v>
      </c>
      <c r="E8" s="72" t="s">
        <v>47</v>
      </c>
      <c r="F8" s="72" t="s">
        <v>48</v>
      </c>
      <c r="G8" s="72" t="s">
        <v>49</v>
      </c>
      <c r="H8" s="72" t="s">
        <v>50</v>
      </c>
      <c r="I8" s="72" t="s">
        <v>51</v>
      </c>
      <c r="J8" s="1" t="s">
        <v>64</v>
      </c>
      <c r="K8" s="1" t="s">
        <v>65</v>
      </c>
      <c r="L8" s="1" t="s">
        <v>66</v>
      </c>
    </row>
    <row r="9" ht="62" customHeight="1" spans="1:12">
      <c r="A9" s="15">
        <v>1</v>
      </c>
      <c r="B9" s="15" t="s">
        <v>67</v>
      </c>
      <c r="C9" s="72" t="s">
        <v>68</v>
      </c>
      <c r="D9" s="72" t="s">
        <v>69</v>
      </c>
      <c r="E9" s="72" t="s">
        <v>70</v>
      </c>
      <c r="F9" s="72" t="s">
        <v>71</v>
      </c>
      <c r="G9" s="15" t="s">
        <v>72</v>
      </c>
      <c r="H9" s="73" t="s">
        <v>73</v>
      </c>
      <c r="I9" s="73"/>
      <c r="J9" s="76">
        <v>44336</v>
      </c>
      <c r="K9" s="76">
        <v>44339</v>
      </c>
      <c r="L9" s="76">
        <v>44340</v>
      </c>
    </row>
    <row r="10" ht="25" customHeight="1" spans="2:9">
      <c r="B10" s="74"/>
      <c r="C10" s="74"/>
      <c r="D10" s="75"/>
      <c r="E10" s="74"/>
      <c r="F10" s="74"/>
      <c r="G10" s="74"/>
      <c r="H10" s="75"/>
      <c r="I10" s="75"/>
    </row>
    <row r="11" ht="25" customHeight="1"/>
    <row r="12" ht="25" customHeight="1"/>
    <row r="13" ht="25" customHeight="1"/>
  </sheetData>
  <mergeCells count="11">
    <mergeCell ref="A1:I1"/>
    <mergeCell ref="B2:I2"/>
    <mergeCell ref="B3:I3"/>
    <mergeCell ref="B4:I4"/>
    <mergeCell ref="B5:D5"/>
    <mergeCell ref="F5:I5"/>
    <mergeCell ref="B6:D6"/>
    <mergeCell ref="F6:I6"/>
    <mergeCell ref="C7:I7"/>
    <mergeCell ref="A7:A8"/>
    <mergeCell ref="B7:B8"/>
  </mergeCells>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FA28"/>
  <sheetViews>
    <sheetView view="pageBreakPreview" zoomScaleNormal="100" topLeftCell="A8" workbookViewId="0">
      <selection activeCell="L13" sqref="L13"/>
    </sheetView>
  </sheetViews>
  <sheetFormatPr defaultColWidth="9" defaultRowHeight="13.5"/>
  <cols>
    <col min="1" max="1" width="5.125" customWidth="1"/>
    <col min="2" max="2" width="10" style="25" customWidth="1"/>
    <col min="3" max="3" width="9.75" style="25" customWidth="1"/>
    <col min="4" max="4" width="10.75" style="25" customWidth="1"/>
    <col min="5" max="5" width="18.625" style="25" customWidth="1"/>
    <col min="6" max="6" width="14" style="25" customWidth="1"/>
    <col min="7" max="7" width="18" style="25" customWidth="1"/>
    <col min="8" max="16377" width="9" style="25"/>
  </cols>
  <sheetData>
    <row r="1" s="24" customFormat="1" spans="1:16381">
      <c r="A1" s="26" t="s">
        <v>74</v>
      </c>
      <c r="B1" s="27"/>
      <c r="C1" s="28" t="s">
        <v>75</v>
      </c>
      <c r="D1" s="29"/>
      <c r="E1" s="64" t="s">
        <v>76</v>
      </c>
      <c r="F1" s="64"/>
      <c r="G1" s="64"/>
      <c r="XEW1"/>
      <c r="XEX1"/>
      <c r="XEY1"/>
      <c r="XEZ1"/>
      <c r="XFA1"/>
    </row>
    <row r="2" s="24" customFormat="1" spans="1:16381">
      <c r="A2" s="26"/>
      <c r="B2" s="27"/>
      <c r="C2" s="28"/>
      <c r="D2" s="29"/>
      <c r="E2" s="32" t="s">
        <v>77</v>
      </c>
      <c r="F2" s="33" t="s">
        <v>78</v>
      </c>
      <c r="G2" s="33"/>
      <c r="XEW2"/>
      <c r="XEX2"/>
      <c r="XEY2"/>
      <c r="XEZ2"/>
      <c r="XFA2"/>
    </row>
    <row r="3" s="24" customFormat="1" spans="1:16381">
      <c r="A3" s="34"/>
      <c r="B3" s="35"/>
      <c r="C3" s="34"/>
      <c r="D3" s="34"/>
      <c r="E3" s="36" t="s">
        <v>79</v>
      </c>
      <c r="F3" s="37" t="s">
        <v>80</v>
      </c>
      <c r="G3" s="37"/>
      <c r="XEW3"/>
      <c r="XEX3"/>
      <c r="XEY3"/>
      <c r="XEZ3"/>
      <c r="XFA3"/>
    </row>
    <row r="4" s="24" customFormat="1" ht="11" customHeight="1" spans="2:16381">
      <c r="B4" s="38"/>
      <c r="F4" s="39"/>
      <c r="G4" s="39"/>
      <c r="XEW4"/>
      <c r="XEX4"/>
      <c r="XEY4"/>
      <c r="XEZ4"/>
      <c r="XFA4"/>
    </row>
    <row r="5" ht="22" customHeight="1" spans="2:7">
      <c r="B5" s="40" t="s">
        <v>81</v>
      </c>
      <c r="C5" s="40"/>
      <c r="D5" s="40"/>
      <c r="E5" s="40"/>
      <c r="F5" s="40"/>
      <c r="G5" s="40"/>
    </row>
    <row r="6" ht="26" customHeight="1" spans="2:7">
      <c r="B6" s="41" t="s">
        <v>82</v>
      </c>
      <c r="C6" s="41"/>
      <c r="D6" s="41"/>
      <c r="E6" s="41"/>
      <c r="F6" s="41"/>
      <c r="G6" s="41"/>
    </row>
    <row r="7" s="24" customFormat="1" ht="24" customHeight="1" spans="1:7">
      <c r="A7" s="42" t="s">
        <v>2</v>
      </c>
      <c r="B7" s="42"/>
      <c r="C7" s="43" t="s">
        <v>83</v>
      </c>
      <c r="D7" s="43"/>
      <c r="E7" s="43"/>
      <c r="F7" s="43"/>
      <c r="G7" s="43"/>
    </row>
    <row r="8" s="24" customFormat="1" ht="24" customHeight="1" spans="1:7">
      <c r="A8" s="42" t="s">
        <v>3</v>
      </c>
      <c r="B8" s="42"/>
      <c r="C8" s="43" t="s">
        <v>84</v>
      </c>
      <c r="D8" s="43"/>
      <c r="E8" s="43"/>
      <c r="F8" s="43"/>
      <c r="G8" s="43"/>
    </row>
    <row r="9" s="24" customFormat="1" ht="24" customHeight="1" spans="1:7">
      <c r="A9" s="42" t="s">
        <v>4</v>
      </c>
      <c r="B9" s="42"/>
      <c r="C9" s="43" t="s">
        <v>84</v>
      </c>
      <c r="D9" s="43"/>
      <c r="E9" s="43"/>
      <c r="F9" s="42" t="s">
        <v>10</v>
      </c>
      <c r="G9" s="42" t="s">
        <v>85</v>
      </c>
    </row>
    <row r="10" s="24" customFormat="1" ht="24" customHeight="1" spans="1:7">
      <c r="A10" s="42" t="s">
        <v>5</v>
      </c>
      <c r="B10" s="42"/>
      <c r="C10" s="43" t="s">
        <v>39</v>
      </c>
      <c r="D10" s="43"/>
      <c r="E10" s="43"/>
      <c r="F10" s="42" t="s">
        <v>86</v>
      </c>
      <c r="G10" s="42" t="s">
        <v>39</v>
      </c>
    </row>
    <row r="11" s="24" customFormat="1" ht="24" customHeight="1" spans="1:7">
      <c r="A11" s="42" t="s">
        <v>48</v>
      </c>
      <c r="B11" s="42"/>
      <c r="C11" s="43" t="s">
        <v>87</v>
      </c>
      <c r="D11" s="43"/>
      <c r="E11" s="43"/>
      <c r="F11" s="42" t="s">
        <v>49</v>
      </c>
      <c r="G11" s="44" t="s">
        <v>88</v>
      </c>
    </row>
    <row r="12" s="24" customFormat="1" ht="24" customHeight="1" spans="1:7">
      <c r="A12" s="42" t="s">
        <v>47</v>
      </c>
      <c r="B12" s="42"/>
      <c r="C12" s="43" t="s">
        <v>89</v>
      </c>
      <c r="D12" s="43"/>
      <c r="E12" s="43"/>
      <c r="F12" s="42" t="s">
        <v>64</v>
      </c>
      <c r="G12" s="44">
        <v>44323</v>
      </c>
    </row>
    <row r="13" s="24" customFormat="1" ht="24" customHeight="1" spans="1:7">
      <c r="A13" s="42" t="s">
        <v>90</v>
      </c>
      <c r="B13" s="42"/>
      <c r="C13" s="43" t="s">
        <v>91</v>
      </c>
      <c r="D13" s="43"/>
      <c r="E13" s="43"/>
      <c r="F13" s="42" t="s">
        <v>65</v>
      </c>
      <c r="G13" s="44">
        <v>44327</v>
      </c>
    </row>
    <row r="14" s="24" customFormat="1" ht="24" customHeight="1" spans="1:7">
      <c r="A14" s="42" t="s">
        <v>45</v>
      </c>
      <c r="B14" s="42"/>
      <c r="C14" s="43" t="s">
        <v>68</v>
      </c>
      <c r="D14" s="43"/>
      <c r="E14" s="43"/>
      <c r="F14" s="42" t="s">
        <v>66</v>
      </c>
      <c r="G14" s="44">
        <v>44329</v>
      </c>
    </row>
    <row r="15" s="24" customFormat="1" ht="23" customHeight="1" spans="1:7">
      <c r="A15" s="46" t="s">
        <v>92</v>
      </c>
      <c r="B15" s="46"/>
      <c r="C15" s="47" t="s">
        <v>93</v>
      </c>
      <c r="D15" s="47"/>
      <c r="E15" s="47"/>
      <c r="F15" s="47"/>
      <c r="G15" s="47"/>
    </row>
    <row r="16" s="24" customFormat="1" ht="23" customHeight="1" spans="1:7">
      <c r="A16" s="46" t="s">
        <v>94</v>
      </c>
      <c r="B16" s="46"/>
      <c r="C16" s="47" t="s">
        <v>95</v>
      </c>
      <c r="D16" s="47"/>
      <c r="E16" s="47"/>
      <c r="F16" s="47"/>
      <c r="G16" s="47"/>
    </row>
    <row r="17" s="24" customFormat="1" ht="36" customHeight="1" spans="1:7">
      <c r="A17" s="46" t="s">
        <v>62</v>
      </c>
      <c r="B17" s="46"/>
      <c r="C17" s="46"/>
      <c r="D17" s="46" t="s">
        <v>96</v>
      </c>
      <c r="E17" s="46"/>
      <c r="F17" s="46" t="s">
        <v>97</v>
      </c>
      <c r="G17" s="46" t="s">
        <v>98</v>
      </c>
    </row>
    <row r="18" s="24" customFormat="1" ht="36" customHeight="1" spans="1:7">
      <c r="A18" s="46" t="s">
        <v>99</v>
      </c>
      <c r="B18" s="46"/>
      <c r="C18" s="46"/>
      <c r="D18" s="46" t="s">
        <v>100</v>
      </c>
      <c r="E18" s="46"/>
      <c r="F18" s="46" t="s">
        <v>100</v>
      </c>
      <c r="G18" s="46" t="s">
        <v>100</v>
      </c>
    </row>
    <row r="19" s="24" customFormat="1" ht="36" customHeight="1" spans="1:7">
      <c r="A19" s="46" t="s">
        <v>101</v>
      </c>
      <c r="B19" s="46"/>
      <c r="C19" s="46"/>
      <c r="D19" s="46" t="s">
        <v>100</v>
      </c>
      <c r="E19" s="46"/>
      <c r="F19" s="46" t="s">
        <v>100</v>
      </c>
      <c r="G19" s="46" t="s">
        <v>100</v>
      </c>
    </row>
    <row r="20" s="24" customFormat="1" ht="36" customHeight="1" spans="1:7">
      <c r="A20" s="46" t="s">
        <v>102</v>
      </c>
      <c r="B20" s="46"/>
      <c r="C20" s="46"/>
      <c r="D20" s="46" t="s">
        <v>100</v>
      </c>
      <c r="E20" s="46"/>
      <c r="F20" s="46" t="s">
        <v>100</v>
      </c>
      <c r="G20" s="46" t="s">
        <v>100</v>
      </c>
    </row>
    <row r="21" s="24" customFormat="1" ht="36" customHeight="1" spans="1:7">
      <c r="A21" s="46" t="s">
        <v>103</v>
      </c>
      <c r="B21" s="46"/>
      <c r="C21" s="46"/>
      <c r="D21" s="46" t="s">
        <v>100</v>
      </c>
      <c r="E21" s="46"/>
      <c r="F21" s="46" t="s">
        <v>100</v>
      </c>
      <c r="G21" s="46" t="s">
        <v>100</v>
      </c>
    </row>
    <row r="22" s="24" customFormat="1" ht="36" customHeight="1" spans="1:7">
      <c r="A22" s="65" t="s">
        <v>104</v>
      </c>
      <c r="B22" s="46" t="s">
        <v>105</v>
      </c>
      <c r="C22" s="46"/>
      <c r="D22" s="46" t="str">
        <f>IF(C14="MU10","≥10.0",IF(C14="MU15","≥15.0",IF(C14="MU20","≥15.0",IF(C14="MU25","≥25.0",IF(C14="MU30","≥30.0","")))))</f>
        <v>≥10.0</v>
      </c>
      <c r="E22" s="46"/>
      <c r="F22" s="46">
        <v>12.48</v>
      </c>
      <c r="G22" s="46" t="s">
        <v>106</v>
      </c>
    </row>
    <row r="23" s="24" customFormat="1" ht="36" customHeight="1" spans="1:7">
      <c r="A23" s="65"/>
      <c r="B23" s="46" t="s">
        <v>107</v>
      </c>
      <c r="C23" s="46"/>
      <c r="D23" s="46" t="str">
        <f>IF(C14="MU10","≥6.5",IF(C14="MU15","≥10.0",IF(C14="MU20","≥14.0",IF(C14="MU25","≥18.0",IF(C14="MU30","≥22.0","")))))</f>
        <v>≥6.5</v>
      </c>
      <c r="E23" s="46"/>
      <c r="F23" s="67">
        <v>8.2</v>
      </c>
      <c r="G23" s="46"/>
    </row>
    <row r="24" s="24" customFormat="1" ht="31" customHeight="1" spans="1:7">
      <c r="A24" s="58" t="s">
        <v>108</v>
      </c>
      <c r="B24" s="58"/>
      <c r="C24" s="59" t="s">
        <v>109</v>
      </c>
      <c r="D24" s="59"/>
      <c r="E24" s="59"/>
      <c r="F24" s="59"/>
      <c r="G24" s="59"/>
    </row>
    <row r="25" s="24" customFormat="1" ht="27" customHeight="1" spans="1:7">
      <c r="A25" s="46" t="s">
        <v>11</v>
      </c>
      <c r="B25" s="46"/>
      <c r="C25" s="47" t="s">
        <v>39</v>
      </c>
      <c r="D25" s="47"/>
      <c r="E25" s="47"/>
      <c r="F25" s="47"/>
      <c r="G25" s="47"/>
    </row>
    <row r="26" s="24" customFormat="1" ht="57" customHeight="1" spans="1:7">
      <c r="A26" s="60" t="s">
        <v>110</v>
      </c>
      <c r="B26" s="60"/>
      <c r="C26" s="61" t="s">
        <v>111</v>
      </c>
      <c r="D26" s="61"/>
      <c r="E26" s="61"/>
      <c r="F26" s="61"/>
      <c r="G26" s="61"/>
    </row>
    <row r="27" s="24" customFormat="1" ht="39" customHeight="1" spans="2:7">
      <c r="B27" s="62"/>
      <c r="C27" s="63"/>
      <c r="D27" s="63"/>
      <c r="E27" s="63"/>
      <c r="F27" s="63"/>
      <c r="G27" s="63"/>
    </row>
    <row r="28" s="24" customFormat="1" ht="42" customHeight="1" spans="2:9">
      <c r="B28" s="66" t="s">
        <v>112</v>
      </c>
      <c r="C28" s="31"/>
      <c r="D28" s="31"/>
      <c r="E28" s="64" t="s">
        <v>113</v>
      </c>
      <c r="F28" s="30"/>
      <c r="G28" s="30" t="s">
        <v>114</v>
      </c>
      <c r="H28" s="31"/>
      <c r="I28" s="31"/>
    </row>
  </sheetData>
  <mergeCells count="50">
    <mergeCell ref="E1:G1"/>
    <mergeCell ref="F2:G2"/>
    <mergeCell ref="F3:G3"/>
    <mergeCell ref="B5:G5"/>
    <mergeCell ref="B6:G6"/>
    <mergeCell ref="A7:B7"/>
    <mergeCell ref="C7:G7"/>
    <mergeCell ref="A8:B8"/>
    <mergeCell ref="C8:G8"/>
    <mergeCell ref="A9:B9"/>
    <mergeCell ref="C9:E9"/>
    <mergeCell ref="A10:B10"/>
    <mergeCell ref="C10:E10"/>
    <mergeCell ref="A11:B11"/>
    <mergeCell ref="C11:E11"/>
    <mergeCell ref="A12:B12"/>
    <mergeCell ref="C12:E12"/>
    <mergeCell ref="A13:B13"/>
    <mergeCell ref="C13:E13"/>
    <mergeCell ref="A14:B14"/>
    <mergeCell ref="C14:E14"/>
    <mergeCell ref="A15:B15"/>
    <mergeCell ref="C15:G15"/>
    <mergeCell ref="A16:B16"/>
    <mergeCell ref="C16:G16"/>
    <mergeCell ref="A17:C17"/>
    <mergeCell ref="D17:E17"/>
    <mergeCell ref="A18:C18"/>
    <mergeCell ref="D18:E18"/>
    <mergeCell ref="A19:C19"/>
    <mergeCell ref="D19:E19"/>
    <mergeCell ref="A20:C20"/>
    <mergeCell ref="D20:E20"/>
    <mergeCell ref="A21:C21"/>
    <mergeCell ref="D21:E21"/>
    <mergeCell ref="B22:C22"/>
    <mergeCell ref="D22:E22"/>
    <mergeCell ref="B23:C23"/>
    <mergeCell ref="D23:E23"/>
    <mergeCell ref="A24:B24"/>
    <mergeCell ref="C24:G24"/>
    <mergeCell ref="A25:B25"/>
    <mergeCell ref="C25:G25"/>
    <mergeCell ref="A26:B26"/>
    <mergeCell ref="C26:G26"/>
    <mergeCell ref="H28:I28"/>
    <mergeCell ref="A22:A23"/>
    <mergeCell ref="G22:G23"/>
    <mergeCell ref="A1:B2"/>
    <mergeCell ref="C1:D2"/>
  </mergeCells>
  <dataValidations count="2">
    <dataValidation type="list" allowBlank="1" showInputMessage="1" showErrorMessage="1" sqref="J6">
      <formula1>[3]工程信息!#REF!</formula1>
    </dataValidation>
    <dataValidation type="list" allowBlank="1" showInputMessage="1" showErrorMessage="1" sqref="C14:E14">
      <formula1>"MU10,MU15,MU20,MU25,MU30"</formula1>
    </dataValidation>
  </dataValidations>
  <printOptions horizontalCentered="1"/>
  <pageMargins left="0.751388888888889" right="0.751388888888889" top="0.354166666666667" bottom="0.354166666666667" header="0.196527777777778" footer="0.236111111111111"/>
  <pageSetup paperSize="9"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XFA28"/>
  <sheetViews>
    <sheetView view="pageBreakPreview" zoomScaleNormal="100" workbookViewId="0">
      <selection activeCell="L12" sqref="L12"/>
    </sheetView>
  </sheetViews>
  <sheetFormatPr defaultColWidth="9" defaultRowHeight="13.5"/>
  <cols>
    <col min="1" max="1" width="5.125" customWidth="1"/>
    <col min="2" max="2" width="10" style="25" customWidth="1"/>
    <col min="3" max="3" width="9.75" style="25" customWidth="1"/>
    <col min="4" max="4" width="10.75" style="25" customWidth="1"/>
    <col min="5" max="5" width="18.625" style="25" customWidth="1"/>
    <col min="6" max="6" width="14" style="25" customWidth="1"/>
    <col min="7" max="7" width="18" style="25" customWidth="1"/>
    <col min="8" max="16377" width="9" style="25"/>
  </cols>
  <sheetData>
    <row r="1" s="24" customFormat="1" spans="1:16381">
      <c r="A1" s="26" t="s">
        <v>74</v>
      </c>
      <c r="B1" s="27"/>
      <c r="C1" s="28" t="s">
        <v>115</v>
      </c>
      <c r="D1" s="29"/>
      <c r="E1" s="64" t="s">
        <v>76</v>
      </c>
      <c r="F1" s="64"/>
      <c r="G1" s="64"/>
      <c r="XEW1"/>
      <c r="XEX1"/>
      <c r="XEY1"/>
      <c r="XEZ1"/>
      <c r="XFA1"/>
    </row>
    <row r="2" s="24" customFormat="1" spans="1:16381">
      <c r="A2" s="26"/>
      <c r="B2" s="27"/>
      <c r="C2" s="28"/>
      <c r="D2" s="29"/>
      <c r="E2" s="32" t="s">
        <v>77</v>
      </c>
      <c r="F2" s="33" t="s">
        <v>78</v>
      </c>
      <c r="G2" s="33"/>
      <c r="XEW2"/>
      <c r="XEX2"/>
      <c r="XEY2"/>
      <c r="XEZ2"/>
      <c r="XFA2"/>
    </row>
    <row r="3" s="24" customFormat="1" spans="1:16381">
      <c r="A3" s="34"/>
      <c r="B3" s="35"/>
      <c r="C3" s="34"/>
      <c r="D3" s="34"/>
      <c r="E3" s="36" t="s">
        <v>79</v>
      </c>
      <c r="F3" s="37" t="s">
        <v>80</v>
      </c>
      <c r="G3" s="37"/>
      <c r="XEW3"/>
      <c r="XEX3"/>
      <c r="XEY3"/>
      <c r="XEZ3"/>
      <c r="XFA3"/>
    </row>
    <row r="4" s="24" customFormat="1" ht="11" customHeight="1" spans="2:16381">
      <c r="B4" s="38"/>
      <c r="F4" s="39"/>
      <c r="G4" s="39"/>
      <c r="XEW4"/>
      <c r="XEX4"/>
      <c r="XEY4"/>
      <c r="XEZ4"/>
      <c r="XFA4"/>
    </row>
    <row r="5" ht="22" customHeight="1" spans="2:7">
      <c r="B5" s="40" t="s">
        <v>81</v>
      </c>
      <c r="C5" s="40"/>
      <c r="D5" s="40"/>
      <c r="E5" s="40"/>
      <c r="F5" s="40"/>
      <c r="G5" s="40"/>
    </row>
    <row r="6" ht="26" customHeight="1" spans="2:7">
      <c r="B6" s="41" t="s">
        <v>82</v>
      </c>
      <c r="C6" s="41"/>
      <c r="D6" s="41"/>
      <c r="E6" s="41"/>
      <c r="F6" s="41"/>
      <c r="G6" s="41"/>
    </row>
    <row r="7" s="24" customFormat="1" ht="24" customHeight="1" spans="1:7">
      <c r="A7" s="42" t="s">
        <v>2</v>
      </c>
      <c r="B7" s="42"/>
      <c r="C7" s="43" t="s">
        <v>116</v>
      </c>
      <c r="D7" s="43"/>
      <c r="E7" s="43"/>
      <c r="F7" s="43"/>
      <c r="G7" s="43"/>
    </row>
    <row r="8" s="24" customFormat="1" ht="24" customHeight="1" spans="1:7">
      <c r="A8" s="42" t="s">
        <v>3</v>
      </c>
      <c r="B8" s="42"/>
      <c r="C8" s="43" t="s">
        <v>117</v>
      </c>
      <c r="D8" s="43"/>
      <c r="E8" s="43"/>
      <c r="F8" s="43"/>
      <c r="G8" s="43"/>
    </row>
    <row r="9" s="24" customFormat="1" ht="24" customHeight="1" spans="1:7">
      <c r="A9" s="42" t="s">
        <v>4</v>
      </c>
      <c r="B9" s="42"/>
      <c r="C9" s="43" t="s">
        <v>117</v>
      </c>
      <c r="D9" s="43"/>
      <c r="E9" s="43"/>
      <c r="F9" s="42" t="s">
        <v>10</v>
      </c>
      <c r="G9" s="42" t="s">
        <v>85</v>
      </c>
    </row>
    <row r="10" s="24" customFormat="1" ht="24" customHeight="1" spans="1:7">
      <c r="A10" s="42" t="s">
        <v>5</v>
      </c>
      <c r="B10" s="42"/>
      <c r="C10" s="43" t="s">
        <v>118</v>
      </c>
      <c r="D10" s="43"/>
      <c r="E10" s="43"/>
      <c r="F10" s="42" t="s">
        <v>86</v>
      </c>
      <c r="G10" s="42" t="s">
        <v>39</v>
      </c>
    </row>
    <row r="11" s="24" customFormat="1" ht="24" customHeight="1" spans="1:7">
      <c r="A11" s="42" t="s">
        <v>48</v>
      </c>
      <c r="B11" s="42"/>
      <c r="C11" s="43" t="s">
        <v>119</v>
      </c>
      <c r="D11" s="43"/>
      <c r="E11" s="43"/>
      <c r="F11" s="42" t="s">
        <v>49</v>
      </c>
      <c r="G11" s="44" t="s">
        <v>72</v>
      </c>
    </row>
    <row r="12" s="24" customFormat="1" ht="24" customHeight="1" spans="1:7">
      <c r="A12" s="42" t="s">
        <v>47</v>
      </c>
      <c r="B12" s="42"/>
      <c r="C12" s="43" t="s">
        <v>120</v>
      </c>
      <c r="D12" s="43"/>
      <c r="E12" s="43"/>
      <c r="F12" s="42" t="s">
        <v>64</v>
      </c>
      <c r="G12" s="44">
        <v>44363</v>
      </c>
    </row>
    <row r="13" s="24" customFormat="1" ht="24" customHeight="1" spans="1:7">
      <c r="A13" s="42" t="s">
        <v>90</v>
      </c>
      <c r="B13" s="42"/>
      <c r="C13" s="43" t="s">
        <v>91</v>
      </c>
      <c r="D13" s="43"/>
      <c r="E13" s="43"/>
      <c r="F13" s="42" t="s">
        <v>65</v>
      </c>
      <c r="G13" s="44">
        <f>G12+3</f>
        <v>44366</v>
      </c>
    </row>
    <row r="14" s="24" customFormat="1" ht="24" customHeight="1" spans="1:7">
      <c r="A14" s="42" t="s">
        <v>45</v>
      </c>
      <c r="B14" s="42"/>
      <c r="C14" s="43" t="s">
        <v>121</v>
      </c>
      <c r="D14" s="43"/>
      <c r="E14" s="43"/>
      <c r="F14" s="42" t="s">
        <v>66</v>
      </c>
      <c r="G14" s="44">
        <f>G13+1</f>
        <v>44367</v>
      </c>
    </row>
    <row r="15" s="24" customFormat="1" ht="23" customHeight="1" spans="1:7">
      <c r="A15" s="46" t="s">
        <v>92</v>
      </c>
      <c r="B15" s="46"/>
      <c r="C15" s="47" t="s">
        <v>93</v>
      </c>
      <c r="D15" s="47"/>
      <c r="E15" s="47"/>
      <c r="F15" s="47"/>
      <c r="G15" s="47"/>
    </row>
    <row r="16" s="24" customFormat="1" ht="23" customHeight="1" spans="1:7">
      <c r="A16" s="46" t="s">
        <v>94</v>
      </c>
      <c r="B16" s="46"/>
      <c r="C16" s="47" t="s">
        <v>95</v>
      </c>
      <c r="D16" s="47"/>
      <c r="E16" s="47"/>
      <c r="F16" s="47"/>
      <c r="G16" s="47"/>
    </row>
    <row r="17" s="24" customFormat="1" ht="36" customHeight="1" spans="1:7">
      <c r="A17" s="46" t="s">
        <v>62</v>
      </c>
      <c r="B17" s="46"/>
      <c r="C17" s="46"/>
      <c r="D17" s="46" t="s">
        <v>96</v>
      </c>
      <c r="E17" s="46"/>
      <c r="F17" s="46" t="s">
        <v>97</v>
      </c>
      <c r="G17" s="46" t="s">
        <v>98</v>
      </c>
    </row>
    <row r="18" s="24" customFormat="1" ht="36" customHeight="1" spans="1:7">
      <c r="A18" s="46" t="s">
        <v>99</v>
      </c>
      <c r="B18" s="46"/>
      <c r="C18" s="46"/>
      <c r="D18" s="46" t="s">
        <v>100</v>
      </c>
      <c r="E18" s="46"/>
      <c r="F18" s="46" t="s">
        <v>100</v>
      </c>
      <c r="G18" s="46" t="s">
        <v>100</v>
      </c>
    </row>
    <row r="19" s="24" customFormat="1" ht="36" customHeight="1" spans="1:7">
      <c r="A19" s="46" t="s">
        <v>101</v>
      </c>
      <c r="B19" s="46"/>
      <c r="C19" s="46"/>
      <c r="D19" s="46" t="s">
        <v>100</v>
      </c>
      <c r="E19" s="46"/>
      <c r="F19" s="46" t="s">
        <v>100</v>
      </c>
      <c r="G19" s="46" t="s">
        <v>100</v>
      </c>
    </row>
    <row r="20" s="24" customFormat="1" ht="36" customHeight="1" spans="1:7">
      <c r="A20" s="46" t="s">
        <v>102</v>
      </c>
      <c r="B20" s="46"/>
      <c r="C20" s="46"/>
      <c r="D20" s="46" t="s">
        <v>100</v>
      </c>
      <c r="E20" s="46"/>
      <c r="F20" s="46" t="s">
        <v>100</v>
      </c>
      <c r="G20" s="46" t="s">
        <v>100</v>
      </c>
    </row>
    <row r="21" s="24" customFormat="1" ht="36" customHeight="1" spans="1:7">
      <c r="A21" s="46" t="s">
        <v>103</v>
      </c>
      <c r="B21" s="46"/>
      <c r="C21" s="46"/>
      <c r="D21" s="46" t="s">
        <v>100</v>
      </c>
      <c r="E21" s="46"/>
      <c r="F21" s="46" t="s">
        <v>100</v>
      </c>
      <c r="G21" s="46" t="s">
        <v>100</v>
      </c>
    </row>
    <row r="22" s="24" customFormat="1" ht="36" customHeight="1" spans="1:7">
      <c r="A22" s="65" t="s">
        <v>104</v>
      </c>
      <c r="B22" s="46" t="s">
        <v>105</v>
      </c>
      <c r="C22" s="46"/>
      <c r="D22" s="46" t="str">
        <f>IF(C14="MU10","≥10.0",IF(C14="MU15","≥15.0",IF(C14="MU20","≥15.0",IF(C14="MU25","≥25.0",IF(C14="MU30","≥30.0","")))))</f>
        <v>≥15.0</v>
      </c>
      <c r="E22" s="46"/>
      <c r="F22" s="55">
        <v>17.2</v>
      </c>
      <c r="G22" s="46" t="s">
        <v>106</v>
      </c>
    </row>
    <row r="23" s="24" customFormat="1" ht="36" customHeight="1" spans="1:7">
      <c r="A23" s="65"/>
      <c r="B23" s="46" t="s">
        <v>107</v>
      </c>
      <c r="C23" s="46"/>
      <c r="D23" s="46" t="str">
        <f>IF(C14="MU10","≥6.5",IF(C14="MU15","≥10.0",IF(C14="MU20","≥14.0",IF(C14="MU25","≥18.0",IF(C14="MU30","≥22.0","")))))</f>
        <v>≥10.0</v>
      </c>
      <c r="E23" s="46"/>
      <c r="F23" s="55">
        <v>15.6</v>
      </c>
      <c r="G23" s="46"/>
    </row>
    <row r="24" s="24" customFormat="1" ht="31" customHeight="1" spans="1:7">
      <c r="A24" s="58" t="s">
        <v>108</v>
      </c>
      <c r="B24" s="58"/>
      <c r="C24" s="59" t="s">
        <v>122</v>
      </c>
      <c r="D24" s="59"/>
      <c r="E24" s="59"/>
      <c r="F24" s="59"/>
      <c r="G24" s="59"/>
    </row>
    <row r="25" s="24" customFormat="1" ht="27" customHeight="1" spans="1:7">
      <c r="A25" s="46" t="s">
        <v>11</v>
      </c>
      <c r="B25" s="46"/>
      <c r="C25" s="47" t="s">
        <v>39</v>
      </c>
      <c r="D25" s="47"/>
      <c r="E25" s="47"/>
      <c r="F25" s="47"/>
      <c r="G25" s="47"/>
    </row>
    <row r="26" s="24" customFormat="1" ht="57" customHeight="1" spans="1:7">
      <c r="A26" s="60" t="s">
        <v>110</v>
      </c>
      <c r="B26" s="60"/>
      <c r="C26" s="61" t="s">
        <v>111</v>
      </c>
      <c r="D26" s="61"/>
      <c r="E26" s="61"/>
      <c r="F26" s="61"/>
      <c r="G26" s="61"/>
    </row>
    <row r="27" s="24" customFormat="1" ht="39" customHeight="1" spans="2:7">
      <c r="B27" s="62"/>
      <c r="C27" s="63"/>
      <c r="D27" s="63"/>
      <c r="E27" s="63"/>
      <c r="F27" s="63"/>
      <c r="G27" s="63"/>
    </row>
    <row r="28" s="24" customFormat="1" ht="42" customHeight="1" spans="2:9">
      <c r="B28" s="66" t="s">
        <v>112</v>
      </c>
      <c r="C28" s="31"/>
      <c r="D28" s="31"/>
      <c r="E28" s="64" t="s">
        <v>113</v>
      </c>
      <c r="F28" s="30"/>
      <c r="G28" s="30" t="s">
        <v>114</v>
      </c>
      <c r="H28" s="31"/>
      <c r="I28" s="31"/>
    </row>
  </sheetData>
  <mergeCells count="50">
    <mergeCell ref="E1:G1"/>
    <mergeCell ref="F2:G2"/>
    <mergeCell ref="F3:G3"/>
    <mergeCell ref="B5:G5"/>
    <mergeCell ref="B6:G6"/>
    <mergeCell ref="A7:B7"/>
    <mergeCell ref="C7:G7"/>
    <mergeCell ref="A8:B8"/>
    <mergeCell ref="C8:G8"/>
    <mergeCell ref="A9:B9"/>
    <mergeCell ref="C9:E9"/>
    <mergeCell ref="A10:B10"/>
    <mergeCell ref="C10:E10"/>
    <mergeCell ref="A11:B11"/>
    <mergeCell ref="C11:E11"/>
    <mergeCell ref="A12:B12"/>
    <mergeCell ref="C12:E12"/>
    <mergeCell ref="A13:B13"/>
    <mergeCell ref="C13:E13"/>
    <mergeCell ref="A14:B14"/>
    <mergeCell ref="C14:E14"/>
    <mergeCell ref="A15:B15"/>
    <mergeCell ref="C15:G15"/>
    <mergeCell ref="A16:B16"/>
    <mergeCell ref="C16:G16"/>
    <mergeCell ref="A17:C17"/>
    <mergeCell ref="D17:E17"/>
    <mergeCell ref="A18:C18"/>
    <mergeCell ref="D18:E18"/>
    <mergeCell ref="A19:C19"/>
    <mergeCell ref="D19:E19"/>
    <mergeCell ref="A20:C20"/>
    <mergeCell ref="D20:E20"/>
    <mergeCell ref="A21:C21"/>
    <mergeCell ref="D21:E21"/>
    <mergeCell ref="B22:C22"/>
    <mergeCell ref="D22:E22"/>
    <mergeCell ref="B23:C23"/>
    <mergeCell ref="D23:E23"/>
    <mergeCell ref="A24:B24"/>
    <mergeCell ref="C24:G24"/>
    <mergeCell ref="A25:B25"/>
    <mergeCell ref="C25:G25"/>
    <mergeCell ref="A26:B26"/>
    <mergeCell ref="C26:G26"/>
    <mergeCell ref="H28:I28"/>
    <mergeCell ref="A22:A23"/>
    <mergeCell ref="G22:G23"/>
    <mergeCell ref="A1:B2"/>
    <mergeCell ref="C1:D2"/>
  </mergeCells>
  <dataValidations count="2">
    <dataValidation type="list" allowBlank="1" showInputMessage="1" showErrorMessage="1" sqref="J6">
      <formula1>[3]工程信息!#REF!</formula1>
    </dataValidation>
    <dataValidation type="list" allowBlank="1" showInputMessage="1" showErrorMessage="1" sqref="C14:E14">
      <formula1>"MU10,MU15,MU20,MU25,MU30"</formula1>
    </dataValidation>
  </dataValidations>
  <printOptions horizontalCentered="1"/>
  <pageMargins left="0.751388888888889" right="0.751388888888889" top="0.354166666666667" bottom="0.354166666666667" header="0.196527777777778" footer="0.236111111111111"/>
  <pageSetup paperSize="9"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XFA33"/>
  <sheetViews>
    <sheetView tabSelected="1" view="pageBreakPreview" zoomScaleNormal="100" workbookViewId="0">
      <selection activeCell="I8" sqref="I8"/>
    </sheetView>
  </sheetViews>
  <sheetFormatPr defaultColWidth="9" defaultRowHeight="13.5"/>
  <cols>
    <col min="1" max="1" width="5.125" customWidth="1"/>
    <col min="2" max="2" width="10" style="25" customWidth="1"/>
    <col min="3" max="3" width="9.75" style="25" customWidth="1"/>
    <col min="4" max="4" width="10.75" style="25" customWidth="1"/>
    <col min="5" max="5" width="15.5" style="25" customWidth="1"/>
    <col min="6" max="6" width="17" style="25" customWidth="1"/>
    <col min="7" max="7" width="18" style="25" customWidth="1"/>
    <col min="8" max="16377" width="9" style="25"/>
  </cols>
  <sheetData>
    <row r="1" s="24" customFormat="1" spans="1:16381">
      <c r="A1" s="26" t="s">
        <v>74</v>
      </c>
      <c r="B1" s="27"/>
      <c r="C1" s="28" t="s">
        <v>123</v>
      </c>
      <c r="D1" s="29"/>
      <c r="E1" s="30"/>
      <c r="F1" s="31" t="s">
        <v>81</v>
      </c>
      <c r="G1" s="31"/>
      <c r="XEW1"/>
      <c r="XEX1"/>
      <c r="XEY1"/>
      <c r="XEZ1"/>
      <c r="XFA1"/>
    </row>
    <row r="2" s="24" customFormat="1" spans="1:16381">
      <c r="A2" s="26"/>
      <c r="B2" s="27"/>
      <c r="C2" s="28"/>
      <c r="D2" s="29"/>
      <c r="E2" s="32"/>
      <c r="F2" s="33" t="s">
        <v>124</v>
      </c>
      <c r="G2" s="33"/>
      <c r="XEW2"/>
      <c r="XEX2"/>
      <c r="XEY2"/>
      <c r="XEZ2"/>
      <c r="XFA2"/>
    </row>
    <row r="3" s="24" customFormat="1" spans="1:16381">
      <c r="A3" s="34"/>
      <c r="B3" s="35"/>
      <c r="C3" s="34"/>
      <c r="D3" s="34"/>
      <c r="E3" s="36"/>
      <c r="F3" s="37" t="s">
        <v>125</v>
      </c>
      <c r="G3" s="37"/>
      <c r="XEW3"/>
      <c r="XEX3"/>
      <c r="XEY3"/>
      <c r="XEZ3"/>
      <c r="XFA3"/>
    </row>
    <row r="4" s="24" customFormat="1" ht="11" customHeight="1" spans="2:16381">
      <c r="B4" s="38"/>
      <c r="F4" s="39"/>
      <c r="G4" s="39"/>
      <c r="XEW4"/>
      <c r="XEX4"/>
      <c r="XEY4"/>
      <c r="XEZ4"/>
      <c r="XFA4"/>
    </row>
    <row r="5" ht="22" customHeight="1" spans="2:7">
      <c r="B5" s="40" t="s">
        <v>81</v>
      </c>
      <c r="C5" s="40"/>
      <c r="D5" s="40"/>
      <c r="E5" s="40"/>
      <c r="F5" s="40"/>
      <c r="G5" s="40"/>
    </row>
    <row r="6" ht="26" customHeight="1" spans="2:7">
      <c r="B6" s="41" t="s">
        <v>126</v>
      </c>
      <c r="C6" s="41"/>
      <c r="D6" s="41"/>
      <c r="E6" s="41"/>
      <c r="F6" s="41"/>
      <c r="G6" s="41"/>
    </row>
    <row r="7" customFormat="1" ht="13" customHeight="1" spans="2:7">
      <c r="B7" s="41"/>
      <c r="C7" s="41"/>
      <c r="D7" s="41"/>
      <c r="E7" s="41"/>
      <c r="F7" s="41"/>
      <c r="G7" s="41"/>
    </row>
    <row r="8" s="24" customFormat="1" ht="24" customHeight="1" spans="1:7">
      <c r="A8" s="42" t="s">
        <v>2</v>
      </c>
      <c r="B8" s="42"/>
      <c r="C8" s="43" t="s">
        <v>37</v>
      </c>
      <c r="D8" s="43"/>
      <c r="E8" s="43"/>
      <c r="F8" s="43"/>
      <c r="G8" s="43"/>
    </row>
    <row r="9" s="24" customFormat="1" ht="24" customHeight="1" spans="1:7">
      <c r="A9" s="42" t="s">
        <v>3</v>
      </c>
      <c r="B9" s="42"/>
      <c r="C9" s="43" t="s">
        <v>38</v>
      </c>
      <c r="D9" s="43"/>
      <c r="E9" s="43"/>
      <c r="F9" s="43"/>
      <c r="G9" s="43"/>
    </row>
    <row r="10" s="24" customFormat="1" ht="29" customHeight="1" spans="1:7">
      <c r="A10" s="42" t="s">
        <v>4</v>
      </c>
      <c r="B10" s="42"/>
      <c r="C10" s="43" t="s">
        <v>38</v>
      </c>
      <c r="D10" s="43"/>
      <c r="E10" s="43"/>
      <c r="F10" s="42" t="s">
        <v>10</v>
      </c>
      <c r="G10" s="42" t="s">
        <v>85</v>
      </c>
    </row>
    <row r="11" s="24" customFormat="1" ht="22" customHeight="1" spans="1:7">
      <c r="A11" s="42" t="s">
        <v>5</v>
      </c>
      <c r="B11" s="42"/>
      <c r="C11" s="43" t="s">
        <v>39</v>
      </c>
      <c r="D11" s="43"/>
      <c r="E11" s="43"/>
      <c r="F11" s="42" t="s">
        <v>86</v>
      </c>
      <c r="G11" s="42" t="s">
        <v>39</v>
      </c>
    </row>
    <row r="12" s="24" customFormat="1" ht="22" customHeight="1" spans="1:7">
      <c r="A12" s="42" t="s">
        <v>48</v>
      </c>
      <c r="B12" s="42"/>
      <c r="C12" s="43" t="s">
        <v>127</v>
      </c>
      <c r="D12" s="43"/>
      <c r="E12" s="43"/>
      <c r="F12" s="42" t="s">
        <v>49</v>
      </c>
      <c r="G12" s="44" t="s">
        <v>128</v>
      </c>
    </row>
    <row r="13" s="24" customFormat="1" ht="22" customHeight="1" spans="1:7">
      <c r="A13" s="42" t="s">
        <v>47</v>
      </c>
      <c r="B13" s="42"/>
      <c r="C13" s="43" t="s">
        <v>89</v>
      </c>
      <c r="D13" s="43"/>
      <c r="E13" s="43"/>
      <c r="F13" s="42" t="s">
        <v>64</v>
      </c>
      <c r="G13" s="45">
        <v>44102</v>
      </c>
    </row>
    <row r="14" s="24" customFormat="1" ht="22" customHeight="1" spans="1:7">
      <c r="A14" s="42" t="s">
        <v>90</v>
      </c>
      <c r="B14" s="42"/>
      <c r="C14" s="43" t="s">
        <v>129</v>
      </c>
      <c r="D14" s="43"/>
      <c r="E14" s="43"/>
      <c r="F14" s="42" t="s">
        <v>65</v>
      </c>
      <c r="G14" s="45">
        <f>G13+3</f>
        <v>44105</v>
      </c>
    </row>
    <row r="15" s="24" customFormat="1" ht="22" customHeight="1" spans="1:7">
      <c r="A15" s="42" t="s">
        <v>45</v>
      </c>
      <c r="B15" s="42"/>
      <c r="C15" s="43" t="s">
        <v>55</v>
      </c>
      <c r="D15" s="43"/>
      <c r="E15" s="43"/>
      <c r="F15" s="42" t="s">
        <v>66</v>
      </c>
      <c r="G15" s="45">
        <f>G14+1</f>
        <v>44106</v>
      </c>
    </row>
    <row r="16" s="24" customFormat="1" ht="22" customHeight="1" spans="1:7">
      <c r="A16" s="46" t="s">
        <v>92</v>
      </c>
      <c r="B16" s="46"/>
      <c r="C16" s="47" t="s">
        <v>130</v>
      </c>
      <c r="D16" s="47"/>
      <c r="E16" s="47"/>
      <c r="F16" s="47"/>
      <c r="G16" s="47"/>
    </row>
    <row r="17" s="24" customFormat="1" ht="22" customHeight="1" spans="1:7">
      <c r="A17" s="46" t="s">
        <v>94</v>
      </c>
      <c r="B17" s="46"/>
      <c r="C17" s="47" t="s">
        <v>131</v>
      </c>
      <c r="D17" s="47"/>
      <c r="E17" s="47"/>
      <c r="F17" s="47"/>
      <c r="G17" s="47"/>
    </row>
    <row r="18" s="24" customFormat="1" ht="23" customHeight="1" spans="1:7">
      <c r="A18" s="46" t="s">
        <v>62</v>
      </c>
      <c r="B18" s="46"/>
      <c r="C18" s="46"/>
      <c r="D18" s="46" t="s">
        <v>96</v>
      </c>
      <c r="E18" s="46"/>
      <c r="F18" s="46" t="s">
        <v>97</v>
      </c>
      <c r="G18" s="46" t="s">
        <v>98</v>
      </c>
    </row>
    <row r="19" s="24" customFormat="1" ht="23" customHeight="1" spans="1:7">
      <c r="A19" s="46" t="s">
        <v>99</v>
      </c>
      <c r="B19" s="46"/>
      <c r="C19" s="46"/>
      <c r="D19" s="46" t="s">
        <v>100</v>
      </c>
      <c r="E19" s="46"/>
      <c r="F19" s="46" t="s">
        <v>100</v>
      </c>
      <c r="G19" s="46" t="s">
        <v>100</v>
      </c>
    </row>
    <row r="20" s="24" customFormat="1" ht="23" customHeight="1" spans="1:7">
      <c r="A20" s="46" t="s">
        <v>101</v>
      </c>
      <c r="B20" s="46"/>
      <c r="C20" s="46"/>
      <c r="D20" s="46" t="s">
        <v>100</v>
      </c>
      <c r="E20" s="46"/>
      <c r="F20" s="46" t="s">
        <v>100</v>
      </c>
      <c r="G20" s="46" t="s">
        <v>100</v>
      </c>
    </row>
    <row r="21" s="24" customFormat="1" ht="23" customHeight="1" spans="1:7">
      <c r="A21" s="48" t="s">
        <v>132</v>
      </c>
      <c r="B21" s="49"/>
      <c r="C21" s="50"/>
      <c r="D21" s="48" t="s">
        <v>100</v>
      </c>
      <c r="E21" s="50"/>
      <c r="F21" s="46" t="s">
        <v>100</v>
      </c>
      <c r="G21" s="46" t="s">
        <v>100</v>
      </c>
    </row>
    <row r="22" s="24" customFormat="1" ht="23" customHeight="1" spans="1:7">
      <c r="A22" s="48" t="s">
        <v>133</v>
      </c>
      <c r="B22" s="49"/>
      <c r="C22" s="50"/>
      <c r="D22" s="48" t="s">
        <v>100</v>
      </c>
      <c r="E22" s="50"/>
      <c r="F22" s="46" t="s">
        <v>100</v>
      </c>
      <c r="G22" s="46" t="s">
        <v>100</v>
      </c>
    </row>
    <row r="23" s="24" customFormat="1" ht="23" customHeight="1" spans="1:7">
      <c r="A23" s="46" t="s">
        <v>102</v>
      </c>
      <c r="B23" s="46"/>
      <c r="C23" s="46"/>
      <c r="D23" s="46" t="s">
        <v>100</v>
      </c>
      <c r="E23" s="46"/>
      <c r="F23" s="46" t="s">
        <v>100</v>
      </c>
      <c r="G23" s="46" t="s">
        <v>100</v>
      </c>
    </row>
    <row r="24" s="24" customFormat="1" ht="23" customHeight="1" spans="1:7">
      <c r="A24" s="46" t="s">
        <v>103</v>
      </c>
      <c r="B24" s="46"/>
      <c r="C24" s="46"/>
      <c r="D24" s="46" t="s">
        <v>100</v>
      </c>
      <c r="E24" s="46"/>
      <c r="F24" s="46" t="s">
        <v>100</v>
      </c>
      <c r="G24" s="46" t="s">
        <v>100</v>
      </c>
    </row>
    <row r="25" s="24" customFormat="1" ht="25" customHeight="1" spans="1:7">
      <c r="A25" s="51" t="s">
        <v>104</v>
      </c>
      <c r="B25" s="46" t="s">
        <v>105</v>
      </c>
      <c r="C25" s="46"/>
      <c r="D25" s="48">
        <v>6.6</v>
      </c>
      <c r="E25" s="50"/>
      <c r="F25" s="46">
        <v>8.7</v>
      </c>
      <c r="G25" s="52" t="s">
        <v>106</v>
      </c>
    </row>
    <row r="26" s="24" customFormat="1" ht="25" customHeight="1" spans="1:7">
      <c r="A26" s="53"/>
      <c r="B26" s="48" t="s">
        <v>134</v>
      </c>
      <c r="C26" s="50"/>
      <c r="D26" s="46" t="s">
        <v>100</v>
      </c>
      <c r="E26" s="46"/>
      <c r="F26" s="46">
        <v>0.09</v>
      </c>
      <c r="G26" s="54"/>
    </row>
    <row r="27" s="24" customFormat="1" ht="29" customHeight="1" spans="1:7">
      <c r="A27" s="53"/>
      <c r="B27" s="46" t="s">
        <v>135</v>
      </c>
      <c r="C27" s="46"/>
      <c r="D27" s="46" t="s">
        <v>136</v>
      </c>
      <c r="E27" s="46"/>
      <c r="F27" s="55">
        <v>5.5</v>
      </c>
      <c r="G27" s="54"/>
    </row>
    <row r="28" s="24" customFormat="1" ht="30" customHeight="1" spans="1:7">
      <c r="A28" s="56"/>
      <c r="B28" s="46" t="s">
        <v>137</v>
      </c>
      <c r="C28" s="46"/>
      <c r="D28" s="46" t="s">
        <v>138</v>
      </c>
      <c r="E28" s="46"/>
      <c r="F28" s="55">
        <v>5.9</v>
      </c>
      <c r="G28" s="57"/>
    </row>
    <row r="29" s="24" customFormat="1" ht="31" customHeight="1" spans="1:7">
      <c r="A29" s="58" t="s">
        <v>108</v>
      </c>
      <c r="B29" s="58"/>
      <c r="C29" s="59" t="s">
        <v>139</v>
      </c>
      <c r="D29" s="59"/>
      <c r="E29" s="59"/>
      <c r="F29" s="59"/>
      <c r="G29" s="59"/>
    </row>
    <row r="30" s="24" customFormat="1" ht="27" customHeight="1" spans="1:7">
      <c r="A30" s="46" t="s">
        <v>140</v>
      </c>
      <c r="B30" s="46"/>
      <c r="C30" s="47" t="s">
        <v>100</v>
      </c>
      <c r="D30" s="47"/>
      <c r="E30" s="47"/>
      <c r="F30" s="47"/>
      <c r="G30" s="47"/>
    </row>
    <row r="31" s="24" customFormat="1" ht="46" customHeight="1" spans="1:7">
      <c r="A31" s="60" t="s">
        <v>141</v>
      </c>
      <c r="B31" s="60"/>
      <c r="C31" s="61" t="s">
        <v>142</v>
      </c>
      <c r="D31" s="61"/>
      <c r="E31" s="61"/>
      <c r="F31" s="61"/>
      <c r="G31" s="61"/>
    </row>
    <row r="32" s="24" customFormat="1" ht="8" customHeight="1" spans="1:7">
      <c r="A32" s="62"/>
      <c r="B32" s="62"/>
      <c r="C32" s="63"/>
      <c r="D32" s="63"/>
      <c r="E32" s="63"/>
      <c r="F32" s="63"/>
      <c r="G32" s="63"/>
    </row>
    <row r="33" s="24" customFormat="1" ht="42" customHeight="1" spans="1:9">
      <c r="A33" s="31" t="s">
        <v>143</v>
      </c>
      <c r="B33" s="31"/>
      <c r="C33" s="31"/>
      <c r="D33" s="31"/>
      <c r="E33" s="31" t="s">
        <v>113</v>
      </c>
      <c r="F33" s="30"/>
      <c r="G33" s="30" t="s">
        <v>114</v>
      </c>
      <c r="H33" s="31"/>
      <c r="I33" s="31"/>
    </row>
  </sheetData>
  <mergeCells count="59">
    <mergeCell ref="F1:G1"/>
    <mergeCell ref="F2:G2"/>
    <mergeCell ref="F3:G3"/>
    <mergeCell ref="B5:G5"/>
    <mergeCell ref="B6:G6"/>
    <mergeCell ref="A8:B8"/>
    <mergeCell ref="C8:G8"/>
    <mergeCell ref="A9:B9"/>
    <mergeCell ref="C9:G9"/>
    <mergeCell ref="A10:B10"/>
    <mergeCell ref="C10:E10"/>
    <mergeCell ref="A11:B11"/>
    <mergeCell ref="C11:E11"/>
    <mergeCell ref="A12:B12"/>
    <mergeCell ref="C12:E12"/>
    <mergeCell ref="A13:B13"/>
    <mergeCell ref="C13:E13"/>
    <mergeCell ref="A14:B14"/>
    <mergeCell ref="C14:E14"/>
    <mergeCell ref="A15:B15"/>
    <mergeCell ref="C15:E15"/>
    <mergeCell ref="A16:B16"/>
    <mergeCell ref="C16:G16"/>
    <mergeCell ref="A17:B17"/>
    <mergeCell ref="C17:G17"/>
    <mergeCell ref="A18:C18"/>
    <mergeCell ref="D18:E18"/>
    <mergeCell ref="A19:C19"/>
    <mergeCell ref="D19:E19"/>
    <mergeCell ref="A20:C20"/>
    <mergeCell ref="D20:E20"/>
    <mergeCell ref="A21:C21"/>
    <mergeCell ref="D21:E21"/>
    <mergeCell ref="A22:C22"/>
    <mergeCell ref="D22:E22"/>
    <mergeCell ref="A23:C23"/>
    <mergeCell ref="D23:E23"/>
    <mergeCell ref="A24:C24"/>
    <mergeCell ref="D24:E24"/>
    <mergeCell ref="B25:C25"/>
    <mergeCell ref="D25:E25"/>
    <mergeCell ref="B26:C26"/>
    <mergeCell ref="D26:E26"/>
    <mergeCell ref="B27:C27"/>
    <mergeCell ref="D27:E27"/>
    <mergeCell ref="B28:C28"/>
    <mergeCell ref="D28:E28"/>
    <mergeCell ref="A29:B29"/>
    <mergeCell ref="C29:G29"/>
    <mergeCell ref="A30:B30"/>
    <mergeCell ref="C30:G30"/>
    <mergeCell ref="A31:B31"/>
    <mergeCell ref="C31:G31"/>
    <mergeCell ref="A33:B33"/>
    <mergeCell ref="H33:I33"/>
    <mergeCell ref="A25:A28"/>
    <mergeCell ref="G25:G28"/>
    <mergeCell ref="A1:B2"/>
    <mergeCell ref="C1:D2"/>
  </mergeCells>
  <dataValidations count="2">
    <dataValidation type="list" allowBlank="1" showInputMessage="1" showErrorMessage="1" sqref="J6 J7">
      <formula1>[3]工程信息!#REF!</formula1>
    </dataValidation>
    <dataValidation type="list" allowBlank="1" showInputMessage="1" showErrorMessage="1" sqref="C15:E15">
      <formula1>"MU10,MU5.0,MU7.5,MU15,MU20,MU25,MU30"</formula1>
    </dataValidation>
  </dataValidations>
  <printOptions horizontalCentered="1"/>
  <pageMargins left="0.751388888888889" right="0.751388888888889" top="0.354166666666667" bottom="0.354166666666667" header="0.196527777777778" footer="0.236111111111111"/>
  <pageSetup paperSize="9" orientation="portrait" horizont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XFA33"/>
  <sheetViews>
    <sheetView view="pageBreakPreview" zoomScaleNormal="100" topLeftCell="A6" workbookViewId="0">
      <selection activeCell="L15" sqref="L15"/>
    </sheetView>
  </sheetViews>
  <sheetFormatPr defaultColWidth="9" defaultRowHeight="13.5"/>
  <cols>
    <col min="1" max="1" width="5.125" customWidth="1"/>
    <col min="2" max="2" width="10" style="25" customWidth="1"/>
    <col min="3" max="3" width="9.75" style="25" customWidth="1"/>
    <col min="4" max="4" width="10.75" style="25" customWidth="1"/>
    <col min="5" max="5" width="15.5" style="25" customWidth="1"/>
    <col min="6" max="6" width="17" style="25" customWidth="1"/>
    <col min="7" max="7" width="18" style="25" customWidth="1"/>
    <col min="8" max="16377" width="9" style="25"/>
  </cols>
  <sheetData>
    <row r="1" s="24" customFormat="1" spans="1:16381">
      <c r="A1" s="26" t="s">
        <v>74</v>
      </c>
      <c r="B1" s="27"/>
      <c r="C1" s="28" t="s">
        <v>123</v>
      </c>
      <c r="D1" s="29"/>
      <c r="E1" s="30"/>
      <c r="F1" s="31" t="s">
        <v>81</v>
      </c>
      <c r="G1" s="31"/>
      <c r="XEW1"/>
      <c r="XEX1"/>
      <c r="XEY1"/>
      <c r="XEZ1"/>
      <c r="XFA1"/>
    </row>
    <row r="2" s="24" customFormat="1" spans="1:16381">
      <c r="A2" s="26"/>
      <c r="B2" s="27"/>
      <c r="C2" s="28"/>
      <c r="D2" s="29"/>
      <c r="E2" s="32"/>
      <c r="F2" s="33" t="s">
        <v>124</v>
      </c>
      <c r="G2" s="33"/>
      <c r="XEW2"/>
      <c r="XEX2"/>
      <c r="XEY2"/>
      <c r="XEZ2"/>
      <c r="XFA2"/>
    </row>
    <row r="3" s="24" customFormat="1" spans="1:16381">
      <c r="A3" s="34"/>
      <c r="B3" s="35"/>
      <c r="C3" s="34"/>
      <c r="D3" s="34"/>
      <c r="E3" s="36"/>
      <c r="F3" s="37" t="s">
        <v>125</v>
      </c>
      <c r="G3" s="37"/>
      <c r="XEW3"/>
      <c r="XEX3"/>
      <c r="XEY3"/>
      <c r="XEZ3"/>
      <c r="XFA3"/>
    </row>
    <row r="4" s="24" customFormat="1" ht="11" customHeight="1" spans="2:16381">
      <c r="B4" s="38"/>
      <c r="F4" s="39"/>
      <c r="G4" s="39"/>
      <c r="XEW4"/>
      <c r="XEX4"/>
      <c r="XEY4"/>
      <c r="XEZ4"/>
      <c r="XFA4"/>
    </row>
    <row r="5" ht="22" customHeight="1" spans="2:7">
      <c r="B5" s="40" t="s">
        <v>81</v>
      </c>
      <c r="C5" s="40"/>
      <c r="D5" s="40"/>
      <c r="E5" s="40"/>
      <c r="F5" s="40"/>
      <c r="G5" s="40"/>
    </row>
    <row r="6" ht="26" customHeight="1" spans="2:7">
      <c r="B6" s="41" t="s">
        <v>126</v>
      </c>
      <c r="C6" s="41"/>
      <c r="D6" s="41"/>
      <c r="E6" s="41"/>
      <c r="F6" s="41"/>
      <c r="G6" s="41"/>
    </row>
    <row r="7" customFormat="1" ht="13" customHeight="1" spans="2:7">
      <c r="B7" s="41"/>
      <c r="C7" s="41"/>
      <c r="D7" s="41"/>
      <c r="E7" s="41"/>
      <c r="F7" s="41"/>
      <c r="G7" s="41"/>
    </row>
    <row r="8" s="24" customFormat="1" ht="24" customHeight="1" spans="1:7">
      <c r="A8" s="42" t="s">
        <v>2</v>
      </c>
      <c r="B8" s="42"/>
      <c r="C8" s="43" t="s">
        <v>144</v>
      </c>
      <c r="D8" s="43"/>
      <c r="E8" s="43"/>
      <c r="F8" s="43"/>
      <c r="G8" s="43"/>
    </row>
    <row r="9" s="24" customFormat="1" ht="24" customHeight="1" spans="1:7">
      <c r="A9" s="42" t="s">
        <v>3</v>
      </c>
      <c r="B9" s="42"/>
      <c r="C9" s="43" t="s">
        <v>145</v>
      </c>
      <c r="D9" s="43"/>
      <c r="E9" s="43"/>
      <c r="F9" s="43"/>
      <c r="G9" s="43"/>
    </row>
    <row r="10" s="24" customFormat="1" ht="29" customHeight="1" spans="1:7">
      <c r="A10" s="42" t="s">
        <v>4</v>
      </c>
      <c r="B10" s="42"/>
      <c r="C10" s="43" t="s">
        <v>145</v>
      </c>
      <c r="D10" s="43"/>
      <c r="E10" s="43"/>
      <c r="F10" s="42" t="s">
        <v>10</v>
      </c>
      <c r="G10" s="42" t="s">
        <v>85</v>
      </c>
    </row>
    <row r="11" s="24" customFormat="1" ht="22" customHeight="1" spans="1:7">
      <c r="A11" s="42" t="s">
        <v>5</v>
      </c>
      <c r="B11" s="42"/>
      <c r="C11" s="43" t="s">
        <v>39</v>
      </c>
      <c r="D11" s="43"/>
      <c r="E11" s="43"/>
      <c r="F11" s="42" t="s">
        <v>86</v>
      </c>
      <c r="G11" s="42" t="s">
        <v>39</v>
      </c>
    </row>
    <row r="12" s="24" customFormat="1" ht="22" customHeight="1" spans="1:7">
      <c r="A12" s="42" t="s">
        <v>48</v>
      </c>
      <c r="B12" s="42"/>
      <c r="C12" s="43" t="s">
        <v>146</v>
      </c>
      <c r="D12" s="43"/>
      <c r="E12" s="43"/>
      <c r="F12" s="42" t="s">
        <v>49</v>
      </c>
      <c r="G12" s="44" t="s">
        <v>147</v>
      </c>
    </row>
    <row r="13" s="24" customFormat="1" ht="22" customHeight="1" spans="1:7">
      <c r="A13" s="42" t="s">
        <v>47</v>
      </c>
      <c r="B13" s="42"/>
      <c r="C13" s="43" t="s">
        <v>148</v>
      </c>
      <c r="D13" s="43"/>
      <c r="E13" s="43"/>
      <c r="F13" s="42" t="s">
        <v>64</v>
      </c>
      <c r="G13" s="45">
        <v>43858</v>
      </c>
    </row>
    <row r="14" s="24" customFormat="1" ht="22" customHeight="1" spans="1:7">
      <c r="A14" s="42" t="s">
        <v>90</v>
      </c>
      <c r="B14" s="42"/>
      <c r="C14" s="43" t="s">
        <v>129</v>
      </c>
      <c r="D14" s="43"/>
      <c r="E14" s="43"/>
      <c r="F14" s="42" t="s">
        <v>65</v>
      </c>
      <c r="G14" s="45">
        <f>G13+3</f>
        <v>43861</v>
      </c>
    </row>
    <row r="15" s="24" customFormat="1" ht="22" customHeight="1" spans="1:7">
      <c r="A15" s="42" t="s">
        <v>45</v>
      </c>
      <c r="B15" s="42"/>
      <c r="C15" s="43" t="s">
        <v>149</v>
      </c>
      <c r="D15" s="43"/>
      <c r="E15" s="43"/>
      <c r="F15" s="42" t="s">
        <v>66</v>
      </c>
      <c r="G15" s="45">
        <f>G14+1</f>
        <v>43862</v>
      </c>
    </row>
    <row r="16" s="24" customFormat="1" ht="22" customHeight="1" spans="1:7">
      <c r="A16" s="46" t="s">
        <v>92</v>
      </c>
      <c r="B16" s="46"/>
      <c r="C16" s="47" t="s">
        <v>130</v>
      </c>
      <c r="D16" s="47"/>
      <c r="E16" s="47"/>
      <c r="F16" s="47"/>
      <c r="G16" s="47"/>
    </row>
    <row r="17" s="24" customFormat="1" ht="22" customHeight="1" spans="1:7">
      <c r="A17" s="46" t="s">
        <v>94</v>
      </c>
      <c r="B17" s="46"/>
      <c r="C17" s="47" t="s">
        <v>131</v>
      </c>
      <c r="D17" s="47"/>
      <c r="E17" s="47"/>
      <c r="F17" s="47"/>
      <c r="G17" s="47"/>
    </row>
    <row r="18" s="24" customFormat="1" ht="23" customHeight="1" spans="1:7">
      <c r="A18" s="46" t="s">
        <v>62</v>
      </c>
      <c r="B18" s="46"/>
      <c r="C18" s="46"/>
      <c r="D18" s="46" t="s">
        <v>96</v>
      </c>
      <c r="E18" s="46"/>
      <c r="F18" s="46" t="s">
        <v>97</v>
      </c>
      <c r="G18" s="46" t="s">
        <v>98</v>
      </c>
    </row>
    <row r="19" s="24" customFormat="1" ht="23" customHeight="1" spans="1:7">
      <c r="A19" s="46" t="s">
        <v>99</v>
      </c>
      <c r="B19" s="46"/>
      <c r="C19" s="46"/>
      <c r="D19" s="46" t="s">
        <v>100</v>
      </c>
      <c r="E19" s="46"/>
      <c r="F19" s="46" t="s">
        <v>100</v>
      </c>
      <c r="G19" s="46" t="s">
        <v>100</v>
      </c>
    </row>
    <row r="20" s="24" customFormat="1" ht="23" customHeight="1" spans="1:7">
      <c r="A20" s="46" t="s">
        <v>101</v>
      </c>
      <c r="B20" s="46"/>
      <c r="C20" s="46"/>
      <c r="D20" s="46" t="s">
        <v>100</v>
      </c>
      <c r="E20" s="46"/>
      <c r="F20" s="46" t="s">
        <v>100</v>
      </c>
      <c r="G20" s="46" t="s">
        <v>100</v>
      </c>
    </row>
    <row r="21" s="24" customFormat="1" ht="23" customHeight="1" spans="1:7">
      <c r="A21" s="48" t="s">
        <v>132</v>
      </c>
      <c r="B21" s="49"/>
      <c r="C21" s="50"/>
      <c r="D21" s="48" t="s">
        <v>100</v>
      </c>
      <c r="E21" s="50"/>
      <c r="F21" s="46" t="s">
        <v>100</v>
      </c>
      <c r="G21" s="46" t="s">
        <v>100</v>
      </c>
    </row>
    <row r="22" s="24" customFormat="1" ht="23" customHeight="1" spans="1:7">
      <c r="A22" s="48" t="s">
        <v>133</v>
      </c>
      <c r="B22" s="49"/>
      <c r="C22" s="50"/>
      <c r="D22" s="48" t="s">
        <v>100</v>
      </c>
      <c r="E22" s="50"/>
      <c r="F22" s="46" t="s">
        <v>100</v>
      </c>
      <c r="G22" s="46" t="s">
        <v>100</v>
      </c>
    </row>
    <row r="23" s="24" customFormat="1" ht="23" customHeight="1" spans="1:7">
      <c r="A23" s="46" t="s">
        <v>102</v>
      </c>
      <c r="B23" s="46"/>
      <c r="C23" s="46"/>
      <c r="D23" s="46" t="s">
        <v>100</v>
      </c>
      <c r="E23" s="46"/>
      <c r="F23" s="46" t="s">
        <v>100</v>
      </c>
      <c r="G23" s="46" t="s">
        <v>100</v>
      </c>
    </row>
    <row r="24" s="24" customFormat="1" ht="23" customHeight="1" spans="1:7">
      <c r="A24" s="46" t="s">
        <v>103</v>
      </c>
      <c r="B24" s="46"/>
      <c r="C24" s="46"/>
      <c r="D24" s="46" t="s">
        <v>100</v>
      </c>
      <c r="E24" s="46"/>
      <c r="F24" s="46" t="s">
        <v>100</v>
      </c>
      <c r="G24" s="46" t="s">
        <v>100</v>
      </c>
    </row>
    <row r="25" s="24" customFormat="1" ht="25" customHeight="1" spans="1:7">
      <c r="A25" s="51" t="s">
        <v>104</v>
      </c>
      <c r="B25" s="46" t="s">
        <v>105</v>
      </c>
      <c r="C25" s="46"/>
      <c r="D25" s="48">
        <v>7.5</v>
      </c>
      <c r="E25" s="50"/>
      <c r="F25" s="46">
        <v>8.7</v>
      </c>
      <c r="G25" s="52" t="s">
        <v>106</v>
      </c>
    </row>
    <row r="26" s="24" customFormat="1" ht="25" customHeight="1" spans="1:7">
      <c r="A26" s="53"/>
      <c r="B26" s="48" t="s">
        <v>134</v>
      </c>
      <c r="C26" s="50"/>
      <c r="D26" s="46" t="s">
        <v>100</v>
      </c>
      <c r="E26" s="46"/>
      <c r="F26" s="46">
        <v>0.07</v>
      </c>
      <c r="G26" s="54"/>
    </row>
    <row r="27" s="24" customFormat="1" ht="29" customHeight="1" spans="1:7">
      <c r="A27" s="53"/>
      <c r="B27" s="46" t="s">
        <v>135</v>
      </c>
      <c r="C27" s="46"/>
      <c r="D27" s="46" t="s">
        <v>136</v>
      </c>
      <c r="E27" s="46"/>
      <c r="F27" s="55">
        <v>7.5</v>
      </c>
      <c r="G27" s="54"/>
    </row>
    <row r="28" s="24" customFormat="1" ht="30" customHeight="1" spans="1:7">
      <c r="A28" s="56"/>
      <c r="B28" s="46" t="s">
        <v>137</v>
      </c>
      <c r="C28" s="46"/>
      <c r="D28" s="46" t="s">
        <v>138</v>
      </c>
      <c r="E28" s="46"/>
      <c r="F28" s="55">
        <v>7.9</v>
      </c>
      <c r="G28" s="57"/>
    </row>
    <row r="29" s="24" customFormat="1" ht="31" customHeight="1" spans="1:7">
      <c r="A29" s="58" t="s">
        <v>108</v>
      </c>
      <c r="B29" s="58"/>
      <c r="C29" s="59" t="s">
        <v>139</v>
      </c>
      <c r="D29" s="59"/>
      <c r="E29" s="59"/>
      <c r="F29" s="59"/>
      <c r="G29" s="59"/>
    </row>
    <row r="30" s="24" customFormat="1" ht="27" customHeight="1" spans="1:7">
      <c r="A30" s="46" t="s">
        <v>140</v>
      </c>
      <c r="B30" s="46"/>
      <c r="C30" s="47" t="s">
        <v>100</v>
      </c>
      <c r="D30" s="47"/>
      <c r="E30" s="47"/>
      <c r="F30" s="47"/>
      <c r="G30" s="47"/>
    </row>
    <row r="31" s="24" customFormat="1" ht="46" customHeight="1" spans="1:7">
      <c r="A31" s="60" t="s">
        <v>141</v>
      </c>
      <c r="B31" s="60"/>
      <c r="C31" s="61" t="s">
        <v>142</v>
      </c>
      <c r="D31" s="61"/>
      <c r="E31" s="61"/>
      <c r="F31" s="61"/>
      <c r="G31" s="61"/>
    </row>
    <row r="32" s="24" customFormat="1" ht="8" customHeight="1" spans="1:7">
      <c r="A32" s="62"/>
      <c r="B32" s="62"/>
      <c r="C32" s="63"/>
      <c r="D32" s="63"/>
      <c r="E32" s="63"/>
      <c r="F32" s="63"/>
      <c r="G32" s="63"/>
    </row>
    <row r="33" s="24" customFormat="1" ht="42" customHeight="1" spans="1:9">
      <c r="A33" s="31" t="s">
        <v>143</v>
      </c>
      <c r="B33" s="31"/>
      <c r="C33" s="31"/>
      <c r="D33" s="31"/>
      <c r="E33" s="31" t="s">
        <v>113</v>
      </c>
      <c r="F33" s="30"/>
      <c r="G33" s="30" t="s">
        <v>114</v>
      </c>
      <c r="H33" s="31"/>
      <c r="I33" s="31"/>
    </row>
  </sheetData>
  <mergeCells count="59">
    <mergeCell ref="F1:G1"/>
    <mergeCell ref="F2:G2"/>
    <mergeCell ref="F3:G3"/>
    <mergeCell ref="B5:G5"/>
    <mergeCell ref="B6:G6"/>
    <mergeCell ref="A8:B8"/>
    <mergeCell ref="C8:G8"/>
    <mergeCell ref="A9:B9"/>
    <mergeCell ref="C9:G9"/>
    <mergeCell ref="A10:B10"/>
    <mergeCell ref="C10:E10"/>
    <mergeCell ref="A11:B11"/>
    <mergeCell ref="C11:E11"/>
    <mergeCell ref="A12:B12"/>
    <mergeCell ref="C12:E12"/>
    <mergeCell ref="A13:B13"/>
    <mergeCell ref="C13:E13"/>
    <mergeCell ref="A14:B14"/>
    <mergeCell ref="C14:E14"/>
    <mergeCell ref="A15:B15"/>
    <mergeCell ref="C15:E15"/>
    <mergeCell ref="A16:B16"/>
    <mergeCell ref="C16:G16"/>
    <mergeCell ref="A17:B17"/>
    <mergeCell ref="C17:G17"/>
    <mergeCell ref="A18:C18"/>
    <mergeCell ref="D18:E18"/>
    <mergeCell ref="A19:C19"/>
    <mergeCell ref="D19:E19"/>
    <mergeCell ref="A20:C20"/>
    <mergeCell ref="D20:E20"/>
    <mergeCell ref="A21:C21"/>
    <mergeCell ref="D21:E21"/>
    <mergeCell ref="A22:C22"/>
    <mergeCell ref="D22:E22"/>
    <mergeCell ref="A23:C23"/>
    <mergeCell ref="D23:E23"/>
    <mergeCell ref="A24:C24"/>
    <mergeCell ref="D24:E24"/>
    <mergeCell ref="B25:C25"/>
    <mergeCell ref="D25:E25"/>
    <mergeCell ref="B26:C26"/>
    <mergeCell ref="D26:E26"/>
    <mergeCell ref="B27:C27"/>
    <mergeCell ref="D27:E27"/>
    <mergeCell ref="B28:C28"/>
    <mergeCell ref="D28:E28"/>
    <mergeCell ref="A29:B29"/>
    <mergeCell ref="C29:G29"/>
    <mergeCell ref="A30:B30"/>
    <mergeCell ref="C30:G30"/>
    <mergeCell ref="A31:B31"/>
    <mergeCell ref="C31:G31"/>
    <mergeCell ref="A33:B33"/>
    <mergeCell ref="H33:I33"/>
    <mergeCell ref="A25:A28"/>
    <mergeCell ref="G25:G28"/>
    <mergeCell ref="A1:B2"/>
    <mergeCell ref="C1:D2"/>
  </mergeCells>
  <dataValidations count="2">
    <dataValidation type="list" allowBlank="1" showInputMessage="1" showErrorMessage="1" sqref="J6 J7">
      <formula1>[3]工程信息!#REF!</formula1>
    </dataValidation>
    <dataValidation type="list" allowBlank="1" showInputMessage="1" showErrorMessage="1" sqref="C15:E15">
      <formula1>"MU10,MU7.5,MU15,MU20,MU25,MU30"</formula1>
    </dataValidation>
  </dataValidations>
  <printOptions horizontalCentered="1"/>
  <pageMargins left="0.751388888888889" right="0.751388888888889" top="0.354166666666667" bottom="0.354166666666667" header="0.196527777777778" footer="0.236111111111111"/>
  <pageSetup paperSize="9" orientation="portrait" horizontalDpi="600"/>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XFA33"/>
  <sheetViews>
    <sheetView view="pageBreakPreview" zoomScaleNormal="100" topLeftCell="A8" workbookViewId="0">
      <selection activeCell="J23" sqref="J23"/>
    </sheetView>
  </sheetViews>
  <sheetFormatPr defaultColWidth="9" defaultRowHeight="13.5"/>
  <cols>
    <col min="1" max="1" width="5.125" customWidth="1"/>
    <col min="2" max="2" width="10" style="25" customWidth="1"/>
    <col min="3" max="3" width="9.75" style="25" customWidth="1"/>
    <col min="4" max="4" width="10.75" style="25" customWidth="1"/>
    <col min="5" max="5" width="15.5" style="25" customWidth="1"/>
    <col min="6" max="6" width="17" style="25" customWidth="1"/>
    <col min="7" max="7" width="18" style="25" customWidth="1"/>
    <col min="8" max="16377" width="9" style="25"/>
  </cols>
  <sheetData>
    <row r="1" s="24" customFormat="1" spans="1:16381">
      <c r="A1" s="26" t="s">
        <v>74</v>
      </c>
      <c r="B1" s="27"/>
      <c r="C1" s="28" t="s">
        <v>150</v>
      </c>
      <c r="D1" s="29"/>
      <c r="E1" s="30"/>
      <c r="F1" s="31" t="s">
        <v>81</v>
      </c>
      <c r="G1" s="31"/>
      <c r="XEW1"/>
      <c r="XEX1"/>
      <c r="XEY1"/>
      <c r="XEZ1"/>
      <c r="XFA1"/>
    </row>
    <row r="2" s="24" customFormat="1" spans="1:16381">
      <c r="A2" s="26"/>
      <c r="B2" s="27"/>
      <c r="C2" s="28"/>
      <c r="D2" s="29"/>
      <c r="E2" s="32"/>
      <c r="F2" s="33" t="s">
        <v>124</v>
      </c>
      <c r="G2" s="33"/>
      <c r="XEW2"/>
      <c r="XEX2"/>
      <c r="XEY2"/>
      <c r="XEZ2"/>
      <c r="XFA2"/>
    </row>
    <row r="3" s="24" customFormat="1" spans="1:16381">
      <c r="A3" s="34"/>
      <c r="B3" s="35"/>
      <c r="C3" s="34"/>
      <c r="D3" s="34"/>
      <c r="E3" s="36"/>
      <c r="F3" s="37" t="s">
        <v>125</v>
      </c>
      <c r="G3" s="37"/>
      <c r="XEW3"/>
      <c r="XEX3"/>
      <c r="XEY3"/>
      <c r="XEZ3"/>
      <c r="XFA3"/>
    </row>
    <row r="4" s="24" customFormat="1" ht="11" customHeight="1" spans="2:16381">
      <c r="B4" s="38"/>
      <c r="F4" s="39"/>
      <c r="G4" s="39"/>
      <c r="XEW4"/>
      <c r="XEX4"/>
      <c r="XEY4"/>
      <c r="XEZ4"/>
      <c r="XFA4"/>
    </row>
    <row r="5" ht="22" customHeight="1" spans="2:7">
      <c r="B5" s="40" t="s">
        <v>81</v>
      </c>
      <c r="C5" s="40"/>
      <c r="D5" s="40"/>
      <c r="E5" s="40"/>
      <c r="F5" s="40"/>
      <c r="G5" s="40"/>
    </row>
    <row r="6" ht="26" customHeight="1" spans="2:7">
      <c r="B6" s="41" t="s">
        <v>126</v>
      </c>
      <c r="C6" s="41"/>
      <c r="D6" s="41"/>
      <c r="E6" s="41"/>
      <c r="F6" s="41"/>
      <c r="G6" s="41"/>
    </row>
    <row r="7" customFormat="1" ht="13" customHeight="1" spans="2:7">
      <c r="B7" s="41"/>
      <c r="C7" s="41"/>
      <c r="D7" s="41"/>
      <c r="E7" s="41"/>
      <c r="F7" s="41"/>
      <c r="G7" s="41"/>
    </row>
    <row r="8" s="24" customFormat="1" ht="24" customHeight="1" spans="1:7">
      <c r="A8" s="42" t="s">
        <v>2</v>
      </c>
      <c r="B8" s="42"/>
      <c r="C8" s="43" t="s">
        <v>144</v>
      </c>
      <c r="D8" s="43"/>
      <c r="E8" s="43"/>
      <c r="F8" s="43"/>
      <c r="G8" s="43"/>
    </row>
    <row r="9" s="24" customFormat="1" ht="24" customHeight="1" spans="1:7">
      <c r="A9" s="42" t="s">
        <v>3</v>
      </c>
      <c r="B9" s="42"/>
      <c r="C9" s="43" t="s">
        <v>145</v>
      </c>
      <c r="D9" s="43"/>
      <c r="E9" s="43"/>
      <c r="F9" s="43"/>
      <c r="G9" s="43"/>
    </row>
    <row r="10" s="24" customFormat="1" ht="29" customHeight="1" spans="1:7">
      <c r="A10" s="42" t="s">
        <v>4</v>
      </c>
      <c r="B10" s="42"/>
      <c r="C10" s="43" t="s">
        <v>145</v>
      </c>
      <c r="D10" s="43"/>
      <c r="E10" s="43"/>
      <c r="F10" s="42" t="s">
        <v>10</v>
      </c>
      <c r="G10" s="42" t="s">
        <v>85</v>
      </c>
    </row>
    <row r="11" s="24" customFormat="1" ht="22" customHeight="1" spans="1:7">
      <c r="A11" s="42" t="s">
        <v>5</v>
      </c>
      <c r="B11" s="42"/>
      <c r="C11" s="43" t="s">
        <v>39</v>
      </c>
      <c r="D11" s="43"/>
      <c r="E11" s="43"/>
      <c r="F11" s="42" t="s">
        <v>86</v>
      </c>
      <c r="G11" s="42" t="s">
        <v>39</v>
      </c>
    </row>
    <row r="12" s="24" customFormat="1" ht="22" customHeight="1" spans="1:7">
      <c r="A12" s="42" t="s">
        <v>48</v>
      </c>
      <c r="B12" s="42"/>
      <c r="C12" s="43" t="s">
        <v>151</v>
      </c>
      <c r="D12" s="43"/>
      <c r="E12" s="43"/>
      <c r="F12" s="42" t="s">
        <v>49</v>
      </c>
      <c r="G12" s="44" t="s">
        <v>152</v>
      </c>
    </row>
    <row r="13" s="24" customFormat="1" ht="22" customHeight="1" spans="1:7">
      <c r="A13" s="42" t="s">
        <v>47</v>
      </c>
      <c r="B13" s="42"/>
      <c r="C13" s="43" t="s">
        <v>148</v>
      </c>
      <c r="D13" s="43"/>
      <c r="E13" s="43"/>
      <c r="F13" s="42" t="s">
        <v>64</v>
      </c>
      <c r="G13" s="45">
        <v>43858</v>
      </c>
    </row>
    <row r="14" s="24" customFormat="1" ht="22" customHeight="1" spans="1:7">
      <c r="A14" s="42" t="s">
        <v>90</v>
      </c>
      <c r="B14" s="42"/>
      <c r="C14" s="43" t="s">
        <v>129</v>
      </c>
      <c r="D14" s="43"/>
      <c r="E14" s="43"/>
      <c r="F14" s="42" t="s">
        <v>65</v>
      </c>
      <c r="G14" s="45">
        <f>G13+3</f>
        <v>43861</v>
      </c>
    </row>
    <row r="15" s="24" customFormat="1" ht="22" customHeight="1" spans="1:7">
      <c r="A15" s="42" t="s">
        <v>45</v>
      </c>
      <c r="B15" s="42"/>
      <c r="C15" s="43" t="s">
        <v>149</v>
      </c>
      <c r="D15" s="43"/>
      <c r="E15" s="43"/>
      <c r="F15" s="42" t="s">
        <v>66</v>
      </c>
      <c r="G15" s="45">
        <f>G14+1</f>
        <v>43862</v>
      </c>
    </row>
    <row r="16" s="24" customFormat="1" ht="22" customHeight="1" spans="1:7">
      <c r="A16" s="46" t="s">
        <v>92</v>
      </c>
      <c r="B16" s="46"/>
      <c r="C16" s="47" t="s">
        <v>130</v>
      </c>
      <c r="D16" s="47"/>
      <c r="E16" s="47"/>
      <c r="F16" s="47"/>
      <c r="G16" s="47"/>
    </row>
    <row r="17" s="24" customFormat="1" ht="22" customHeight="1" spans="1:7">
      <c r="A17" s="46" t="s">
        <v>94</v>
      </c>
      <c r="B17" s="46"/>
      <c r="C17" s="47" t="s">
        <v>131</v>
      </c>
      <c r="D17" s="47"/>
      <c r="E17" s="47"/>
      <c r="F17" s="47"/>
      <c r="G17" s="47"/>
    </row>
    <row r="18" s="24" customFormat="1" ht="23" customHeight="1" spans="1:7">
      <c r="A18" s="46" t="s">
        <v>62</v>
      </c>
      <c r="B18" s="46"/>
      <c r="C18" s="46"/>
      <c r="D18" s="46" t="s">
        <v>96</v>
      </c>
      <c r="E18" s="46"/>
      <c r="F18" s="46" t="s">
        <v>97</v>
      </c>
      <c r="G18" s="46" t="s">
        <v>98</v>
      </c>
    </row>
    <row r="19" s="24" customFormat="1" ht="23" customHeight="1" spans="1:7">
      <c r="A19" s="46" t="s">
        <v>99</v>
      </c>
      <c r="B19" s="46"/>
      <c r="C19" s="46"/>
      <c r="D19" s="46" t="s">
        <v>100</v>
      </c>
      <c r="E19" s="46"/>
      <c r="F19" s="46" t="s">
        <v>100</v>
      </c>
      <c r="G19" s="46" t="s">
        <v>100</v>
      </c>
    </row>
    <row r="20" s="24" customFormat="1" ht="23" customHeight="1" spans="1:7">
      <c r="A20" s="46" t="s">
        <v>101</v>
      </c>
      <c r="B20" s="46"/>
      <c r="C20" s="46"/>
      <c r="D20" s="46" t="s">
        <v>100</v>
      </c>
      <c r="E20" s="46"/>
      <c r="F20" s="46" t="s">
        <v>100</v>
      </c>
      <c r="G20" s="46" t="s">
        <v>100</v>
      </c>
    </row>
    <row r="21" s="24" customFormat="1" ht="23" customHeight="1" spans="1:7">
      <c r="A21" s="48" t="s">
        <v>132</v>
      </c>
      <c r="B21" s="49"/>
      <c r="C21" s="50"/>
      <c r="D21" s="48" t="s">
        <v>100</v>
      </c>
      <c r="E21" s="50"/>
      <c r="F21" s="46" t="s">
        <v>100</v>
      </c>
      <c r="G21" s="46" t="s">
        <v>100</v>
      </c>
    </row>
    <row r="22" s="24" customFormat="1" ht="23" customHeight="1" spans="1:7">
      <c r="A22" s="48" t="s">
        <v>133</v>
      </c>
      <c r="B22" s="49"/>
      <c r="C22" s="50"/>
      <c r="D22" s="48" t="s">
        <v>100</v>
      </c>
      <c r="E22" s="50"/>
      <c r="F22" s="46" t="s">
        <v>100</v>
      </c>
      <c r="G22" s="46" t="s">
        <v>100</v>
      </c>
    </row>
    <row r="23" s="24" customFormat="1" ht="23" customHeight="1" spans="1:7">
      <c r="A23" s="46" t="s">
        <v>102</v>
      </c>
      <c r="B23" s="46"/>
      <c r="C23" s="46"/>
      <c r="D23" s="46" t="s">
        <v>100</v>
      </c>
      <c r="E23" s="46"/>
      <c r="F23" s="46" t="s">
        <v>100</v>
      </c>
      <c r="G23" s="46" t="s">
        <v>100</v>
      </c>
    </row>
    <row r="24" s="24" customFormat="1" ht="23" customHeight="1" spans="1:7">
      <c r="A24" s="46" t="s">
        <v>103</v>
      </c>
      <c r="B24" s="46"/>
      <c r="C24" s="46"/>
      <c r="D24" s="46" t="s">
        <v>100</v>
      </c>
      <c r="E24" s="46"/>
      <c r="F24" s="46" t="s">
        <v>100</v>
      </c>
      <c r="G24" s="46" t="s">
        <v>100</v>
      </c>
    </row>
    <row r="25" s="24" customFormat="1" ht="25" customHeight="1" spans="1:7">
      <c r="A25" s="51" t="s">
        <v>104</v>
      </c>
      <c r="B25" s="46" t="s">
        <v>105</v>
      </c>
      <c r="C25" s="46"/>
      <c r="D25" s="48">
        <v>7.5</v>
      </c>
      <c r="E25" s="50"/>
      <c r="F25" s="46">
        <v>8.6</v>
      </c>
      <c r="G25" s="52" t="s">
        <v>106</v>
      </c>
    </row>
    <row r="26" s="24" customFormat="1" ht="25" customHeight="1" spans="1:7">
      <c r="A26" s="53"/>
      <c r="B26" s="48" t="s">
        <v>134</v>
      </c>
      <c r="C26" s="50"/>
      <c r="D26" s="46" t="s">
        <v>100</v>
      </c>
      <c r="E26" s="46"/>
      <c r="F26" s="46">
        <v>0.08</v>
      </c>
      <c r="G26" s="54"/>
    </row>
    <row r="27" s="24" customFormat="1" ht="29" customHeight="1" spans="1:7">
      <c r="A27" s="53"/>
      <c r="B27" s="46" t="s">
        <v>135</v>
      </c>
      <c r="C27" s="46"/>
      <c r="D27" s="46" t="s">
        <v>136</v>
      </c>
      <c r="E27" s="46"/>
      <c r="F27" s="55">
        <v>7.3</v>
      </c>
      <c r="G27" s="54"/>
    </row>
    <row r="28" s="24" customFormat="1" ht="30" customHeight="1" spans="1:7">
      <c r="A28" s="56"/>
      <c r="B28" s="46" t="s">
        <v>137</v>
      </c>
      <c r="C28" s="46"/>
      <c r="D28" s="46" t="s">
        <v>138</v>
      </c>
      <c r="E28" s="46"/>
      <c r="F28" s="55">
        <v>7.8</v>
      </c>
      <c r="G28" s="57"/>
    </row>
    <row r="29" s="24" customFormat="1" ht="31" customHeight="1" spans="1:7">
      <c r="A29" s="58" t="s">
        <v>108</v>
      </c>
      <c r="B29" s="58"/>
      <c r="C29" s="59" t="s">
        <v>139</v>
      </c>
      <c r="D29" s="59"/>
      <c r="E29" s="59"/>
      <c r="F29" s="59"/>
      <c r="G29" s="59"/>
    </row>
    <row r="30" s="24" customFormat="1" ht="27" customHeight="1" spans="1:7">
      <c r="A30" s="46" t="s">
        <v>140</v>
      </c>
      <c r="B30" s="46"/>
      <c r="C30" s="47" t="s">
        <v>100</v>
      </c>
      <c r="D30" s="47"/>
      <c r="E30" s="47"/>
      <c r="F30" s="47"/>
      <c r="G30" s="47"/>
    </row>
    <row r="31" s="24" customFormat="1" ht="46" customHeight="1" spans="1:7">
      <c r="A31" s="60" t="s">
        <v>141</v>
      </c>
      <c r="B31" s="60"/>
      <c r="C31" s="61" t="s">
        <v>142</v>
      </c>
      <c r="D31" s="61"/>
      <c r="E31" s="61"/>
      <c r="F31" s="61"/>
      <c r="G31" s="61"/>
    </row>
    <row r="32" s="24" customFormat="1" ht="8" customHeight="1" spans="1:7">
      <c r="A32" s="62"/>
      <c r="B32" s="62"/>
      <c r="C32" s="63"/>
      <c r="D32" s="63"/>
      <c r="E32" s="63"/>
      <c r="F32" s="63"/>
      <c r="G32" s="63"/>
    </row>
    <row r="33" s="24" customFormat="1" ht="42" customHeight="1" spans="1:9">
      <c r="A33" s="31" t="s">
        <v>143</v>
      </c>
      <c r="B33" s="31"/>
      <c r="C33" s="31"/>
      <c r="D33" s="31"/>
      <c r="E33" s="31" t="s">
        <v>113</v>
      </c>
      <c r="F33" s="30"/>
      <c r="G33" s="30" t="s">
        <v>114</v>
      </c>
      <c r="H33" s="31"/>
      <c r="I33" s="31"/>
    </row>
  </sheetData>
  <mergeCells count="59">
    <mergeCell ref="F1:G1"/>
    <mergeCell ref="F2:G2"/>
    <mergeCell ref="F3:G3"/>
    <mergeCell ref="B5:G5"/>
    <mergeCell ref="B6:G6"/>
    <mergeCell ref="A8:B8"/>
    <mergeCell ref="C8:G8"/>
    <mergeCell ref="A9:B9"/>
    <mergeCell ref="C9:G9"/>
    <mergeCell ref="A10:B10"/>
    <mergeCell ref="C10:E10"/>
    <mergeCell ref="A11:B11"/>
    <mergeCell ref="C11:E11"/>
    <mergeCell ref="A12:B12"/>
    <mergeCell ref="C12:E12"/>
    <mergeCell ref="A13:B13"/>
    <mergeCell ref="C13:E13"/>
    <mergeCell ref="A14:B14"/>
    <mergeCell ref="C14:E14"/>
    <mergeCell ref="A15:B15"/>
    <mergeCell ref="C15:E15"/>
    <mergeCell ref="A16:B16"/>
    <mergeCell ref="C16:G16"/>
    <mergeCell ref="A17:B17"/>
    <mergeCell ref="C17:G17"/>
    <mergeCell ref="A18:C18"/>
    <mergeCell ref="D18:E18"/>
    <mergeCell ref="A19:C19"/>
    <mergeCell ref="D19:E19"/>
    <mergeCell ref="A20:C20"/>
    <mergeCell ref="D20:E20"/>
    <mergeCell ref="A21:C21"/>
    <mergeCell ref="D21:E21"/>
    <mergeCell ref="A22:C22"/>
    <mergeCell ref="D22:E22"/>
    <mergeCell ref="A23:C23"/>
    <mergeCell ref="D23:E23"/>
    <mergeCell ref="A24:C24"/>
    <mergeCell ref="D24:E24"/>
    <mergeCell ref="B25:C25"/>
    <mergeCell ref="D25:E25"/>
    <mergeCell ref="B26:C26"/>
    <mergeCell ref="D26:E26"/>
    <mergeCell ref="B27:C27"/>
    <mergeCell ref="D27:E27"/>
    <mergeCell ref="B28:C28"/>
    <mergeCell ref="D28:E28"/>
    <mergeCell ref="A29:B29"/>
    <mergeCell ref="C29:G29"/>
    <mergeCell ref="A30:B30"/>
    <mergeCell ref="C30:G30"/>
    <mergeCell ref="A31:B31"/>
    <mergeCell ref="C31:G31"/>
    <mergeCell ref="A33:B33"/>
    <mergeCell ref="H33:I33"/>
    <mergeCell ref="A25:A28"/>
    <mergeCell ref="G25:G28"/>
    <mergeCell ref="A1:B2"/>
    <mergeCell ref="C1:D2"/>
  </mergeCells>
  <dataValidations count="2">
    <dataValidation type="list" allowBlank="1" showInputMessage="1" showErrorMessage="1" sqref="J6 J7">
      <formula1>[3]工程信息!#REF!</formula1>
    </dataValidation>
    <dataValidation type="list" allowBlank="1" showInputMessage="1" showErrorMessage="1" sqref="C15:E15">
      <formula1>"MU10,MU7.5,MU15,MU20,MU25,MU30"</formula1>
    </dataValidation>
  </dataValidations>
  <printOptions horizontalCentered="1"/>
  <pageMargins left="0.751388888888889" right="0.751388888888889" top="0.354166666666667" bottom="0.354166666666667" header="0.196527777777778" footer="0.236111111111111"/>
  <pageSetup paperSize="9" orientation="portrait" horizontalDpi="600"/>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M32"/>
  <sheetViews>
    <sheetView view="pageBreakPreview" zoomScaleNormal="100" workbookViewId="0">
      <selection activeCell="M7" sqref="M7"/>
    </sheetView>
  </sheetViews>
  <sheetFormatPr defaultColWidth="9" defaultRowHeight="13.5"/>
  <cols>
    <col min="2" max="2" width="4.5" customWidth="1"/>
    <col min="6" max="6" width="9.25" customWidth="1"/>
    <col min="7" max="7" width="6.5" customWidth="1"/>
    <col min="8" max="8" width="7.125" customWidth="1"/>
    <col min="10" max="10" width="8.75" customWidth="1"/>
  </cols>
  <sheetData>
    <row r="1" ht="14" customHeight="1" spans="1:10">
      <c r="A1" s="2" t="s">
        <v>74</v>
      </c>
      <c r="B1" s="3"/>
      <c r="C1" s="4"/>
      <c r="D1" s="5"/>
      <c r="G1" s="6" t="s">
        <v>81</v>
      </c>
      <c r="H1" s="6"/>
      <c r="I1" s="6"/>
      <c r="J1" s="6"/>
    </row>
    <row r="2" ht="13" customHeight="1" spans="1:10">
      <c r="A2" s="7"/>
      <c r="B2" s="8"/>
      <c r="C2" s="9"/>
      <c r="D2" s="10"/>
      <c r="G2" s="11" t="s">
        <v>124</v>
      </c>
      <c r="H2" s="11"/>
      <c r="I2" s="11"/>
      <c r="J2" s="11"/>
    </row>
    <row r="3" spans="7:10">
      <c r="G3" s="12" t="s">
        <v>125</v>
      </c>
      <c r="H3" s="12"/>
      <c r="I3" s="12"/>
      <c r="J3" s="12"/>
    </row>
    <row r="4" ht="42" customHeight="1" spans="1:10">
      <c r="A4" s="13" t="s">
        <v>153</v>
      </c>
      <c r="B4" s="13"/>
      <c r="C4" s="13"/>
      <c r="D4" s="13"/>
      <c r="E4" s="13"/>
      <c r="F4" s="13"/>
      <c r="G4" s="13"/>
      <c r="H4" s="13"/>
      <c r="I4" s="13"/>
      <c r="J4" s="13"/>
    </row>
    <row r="5" ht="7" customHeight="1"/>
    <row r="6" ht="23" customHeight="1" spans="1:10">
      <c r="A6" s="14" t="s">
        <v>2</v>
      </c>
      <c r="B6" s="14"/>
      <c r="C6" s="15"/>
      <c r="D6" s="15"/>
      <c r="E6" s="15"/>
      <c r="F6" s="15"/>
      <c r="G6" s="15"/>
      <c r="H6" s="15"/>
      <c r="I6" s="15"/>
      <c r="J6" s="15"/>
    </row>
    <row r="7" ht="23" customHeight="1" spans="1:10">
      <c r="A7" s="14" t="s">
        <v>3</v>
      </c>
      <c r="B7" s="14"/>
      <c r="C7" s="15"/>
      <c r="D7" s="15"/>
      <c r="E7" s="15"/>
      <c r="F7" s="15"/>
      <c r="G7" s="15"/>
      <c r="H7" s="15"/>
      <c r="I7" s="15"/>
      <c r="J7" s="15"/>
    </row>
    <row r="8" ht="23" customHeight="1" spans="1:10">
      <c r="A8" s="14" t="s">
        <v>5</v>
      </c>
      <c r="B8" s="14"/>
      <c r="C8" s="15"/>
      <c r="D8" s="15"/>
      <c r="E8" s="15"/>
      <c r="F8" s="15"/>
      <c r="G8" s="15"/>
      <c r="H8" s="15"/>
      <c r="I8" s="15"/>
      <c r="J8" s="15"/>
    </row>
    <row r="9" ht="23" customHeight="1" spans="1:10">
      <c r="A9" s="14" t="s">
        <v>86</v>
      </c>
      <c r="B9" s="14"/>
      <c r="C9" s="15"/>
      <c r="D9" s="15"/>
      <c r="E9" s="15"/>
      <c r="F9" s="15"/>
      <c r="G9" s="15" t="s">
        <v>154</v>
      </c>
      <c r="H9" s="15"/>
      <c r="I9" s="15"/>
      <c r="J9" s="15"/>
    </row>
    <row r="10" ht="23" customHeight="1" spans="1:10">
      <c r="A10" s="14" t="s">
        <v>48</v>
      </c>
      <c r="B10" s="14"/>
      <c r="C10" s="15"/>
      <c r="D10" s="15"/>
      <c r="E10" s="15"/>
      <c r="F10" s="15"/>
      <c r="G10" s="15" t="s">
        <v>49</v>
      </c>
      <c r="H10" s="15"/>
      <c r="I10" s="15"/>
      <c r="J10" s="15"/>
    </row>
    <row r="11" ht="27" customHeight="1" spans="1:10">
      <c r="A11" s="16" t="s">
        <v>155</v>
      </c>
      <c r="B11" s="16"/>
      <c r="C11" s="15"/>
      <c r="D11" s="15"/>
      <c r="E11" s="15"/>
      <c r="F11" s="15"/>
      <c r="G11" s="15" t="s">
        <v>156</v>
      </c>
      <c r="H11" s="15"/>
      <c r="I11" s="15" t="s">
        <v>157</v>
      </c>
      <c r="J11" s="15"/>
    </row>
    <row r="12" ht="23" customHeight="1" spans="1:10">
      <c r="A12" s="14" t="s">
        <v>158</v>
      </c>
      <c r="B12" s="14"/>
      <c r="C12" s="15"/>
      <c r="D12" s="15"/>
      <c r="E12" s="15"/>
      <c r="F12" s="15"/>
      <c r="G12" s="15" t="s">
        <v>64</v>
      </c>
      <c r="H12" s="15"/>
      <c r="I12" s="15"/>
      <c r="J12" s="15"/>
    </row>
    <row r="13" s="1" customFormat="1" ht="28" customHeight="1" spans="1:10">
      <c r="A13" s="14" t="s">
        <v>159</v>
      </c>
      <c r="B13" s="14"/>
      <c r="C13" s="17" t="s">
        <v>160</v>
      </c>
      <c r="D13" s="17"/>
      <c r="E13" s="17"/>
      <c r="F13" s="17"/>
      <c r="G13" s="15" t="s">
        <v>65</v>
      </c>
      <c r="H13" s="15"/>
      <c r="I13" s="15"/>
      <c r="J13" s="15"/>
    </row>
    <row r="14" ht="23" customHeight="1" spans="1:10">
      <c r="A14" s="14" t="s">
        <v>94</v>
      </c>
      <c r="B14" s="14"/>
      <c r="C14" s="18" t="s">
        <v>161</v>
      </c>
      <c r="D14" s="18"/>
      <c r="E14" s="18"/>
      <c r="F14" s="18"/>
      <c r="G14" s="15" t="s">
        <v>66</v>
      </c>
      <c r="H14" s="15"/>
      <c r="I14" s="15"/>
      <c r="J14" s="15"/>
    </row>
    <row r="15" ht="23" customHeight="1" spans="1:10">
      <c r="A15" s="19" t="s">
        <v>162</v>
      </c>
      <c r="B15" s="20"/>
      <c r="C15" s="15" t="s">
        <v>163</v>
      </c>
      <c r="D15" s="15"/>
      <c r="E15" s="15"/>
      <c r="F15" s="15"/>
      <c r="G15" s="15" t="s">
        <v>164</v>
      </c>
      <c r="H15" s="15"/>
      <c r="I15" s="15"/>
      <c r="J15" s="15"/>
    </row>
    <row r="16" ht="23" customHeight="1" spans="1:13">
      <c r="A16" s="15">
        <v>1</v>
      </c>
      <c r="B16" s="15"/>
      <c r="C16" s="15"/>
      <c r="D16" s="15"/>
      <c r="E16" s="15"/>
      <c r="F16" s="15"/>
      <c r="G16" s="15"/>
      <c r="H16" s="15"/>
      <c r="I16" s="15"/>
      <c r="J16" s="15"/>
      <c r="M16" s="22"/>
    </row>
    <row r="17" ht="23" customHeight="1" spans="1:10">
      <c r="A17" s="15">
        <v>2</v>
      </c>
      <c r="B17" s="15"/>
      <c r="C17" s="15"/>
      <c r="D17" s="15"/>
      <c r="E17" s="15"/>
      <c r="F17" s="15"/>
      <c r="G17" s="15"/>
      <c r="H17" s="15"/>
      <c r="I17" s="15"/>
      <c r="J17" s="15"/>
    </row>
    <row r="18" ht="23" customHeight="1" spans="1:10">
      <c r="A18" s="15">
        <v>3</v>
      </c>
      <c r="B18" s="15"/>
      <c r="C18" s="15"/>
      <c r="D18" s="15"/>
      <c r="E18" s="15"/>
      <c r="F18" s="15"/>
      <c r="G18" s="15"/>
      <c r="H18" s="15"/>
      <c r="I18" s="15"/>
      <c r="J18" s="15"/>
    </row>
    <row r="19" ht="23" customHeight="1" spans="1:10">
      <c r="A19" s="15">
        <v>4</v>
      </c>
      <c r="B19" s="15"/>
      <c r="C19" s="15"/>
      <c r="D19" s="15"/>
      <c r="E19" s="15"/>
      <c r="F19" s="15"/>
      <c r="G19" s="15"/>
      <c r="H19" s="15"/>
      <c r="I19" s="15"/>
      <c r="J19" s="15"/>
    </row>
    <row r="20" ht="23" customHeight="1" spans="1:10">
      <c r="A20" s="15">
        <v>5</v>
      </c>
      <c r="B20" s="15"/>
      <c r="C20" s="15"/>
      <c r="D20" s="15"/>
      <c r="E20" s="15"/>
      <c r="F20" s="15"/>
      <c r="G20" s="15"/>
      <c r="H20" s="15"/>
      <c r="I20" s="15"/>
      <c r="J20" s="15"/>
    </row>
    <row r="21" ht="23" customHeight="1" spans="1:10">
      <c r="A21" s="15">
        <v>6</v>
      </c>
      <c r="B21" s="15"/>
      <c r="C21" s="15"/>
      <c r="D21" s="15"/>
      <c r="E21" s="15"/>
      <c r="F21" s="15"/>
      <c r="G21" s="15"/>
      <c r="H21" s="15"/>
      <c r="I21" s="15"/>
      <c r="J21" s="15"/>
    </row>
    <row r="22" ht="23" customHeight="1" spans="1:10">
      <c r="A22" s="15">
        <v>7</v>
      </c>
      <c r="B22" s="15"/>
      <c r="C22" s="15"/>
      <c r="D22" s="15"/>
      <c r="E22" s="15"/>
      <c r="F22" s="15"/>
      <c r="G22" s="15"/>
      <c r="H22" s="15"/>
      <c r="I22" s="15"/>
      <c r="J22" s="15"/>
    </row>
    <row r="23" ht="23" customHeight="1" spans="1:10">
      <c r="A23" s="15">
        <v>8</v>
      </c>
      <c r="B23" s="15"/>
      <c r="C23" s="15"/>
      <c r="D23" s="15"/>
      <c r="E23" s="15"/>
      <c r="F23" s="15"/>
      <c r="G23" s="15"/>
      <c r="H23" s="15"/>
      <c r="I23" s="15"/>
      <c r="J23" s="15"/>
    </row>
    <row r="24" ht="23" customHeight="1" spans="1:10">
      <c r="A24" s="15">
        <v>9</v>
      </c>
      <c r="B24" s="15"/>
      <c r="C24" s="15"/>
      <c r="D24" s="15"/>
      <c r="E24" s="15"/>
      <c r="F24" s="15"/>
      <c r="G24" s="15"/>
      <c r="H24" s="15"/>
      <c r="I24" s="15"/>
      <c r="J24" s="15"/>
    </row>
    <row r="25" ht="23" customHeight="1" spans="1:10">
      <c r="A25" s="15">
        <v>10</v>
      </c>
      <c r="B25" s="15"/>
      <c r="C25" s="15"/>
      <c r="D25" s="15"/>
      <c r="E25" s="15"/>
      <c r="F25" s="15"/>
      <c r="G25" s="15"/>
      <c r="H25" s="15"/>
      <c r="I25" s="15"/>
      <c r="J25" s="15"/>
    </row>
    <row r="26" ht="25" customHeight="1" spans="1:10">
      <c r="A26" s="15" t="s">
        <v>97</v>
      </c>
      <c r="B26" s="15"/>
      <c r="C26" s="15"/>
      <c r="D26" s="15"/>
      <c r="E26" s="15"/>
      <c r="F26" s="15"/>
      <c r="G26" s="15"/>
      <c r="H26" s="15"/>
      <c r="I26" s="15"/>
      <c r="J26" s="15"/>
    </row>
    <row r="27" ht="25" customHeight="1" spans="1:10">
      <c r="A27" s="15" t="s">
        <v>108</v>
      </c>
      <c r="B27" s="15"/>
      <c r="C27" s="15"/>
      <c r="D27" s="15"/>
      <c r="E27" s="15"/>
      <c r="F27" s="15"/>
      <c r="G27" s="15"/>
      <c r="H27" s="15"/>
      <c r="I27" s="15"/>
      <c r="J27" s="15"/>
    </row>
    <row r="28" ht="25" customHeight="1" spans="1:10">
      <c r="A28" s="15" t="s">
        <v>165</v>
      </c>
      <c r="B28" s="18" t="s">
        <v>166</v>
      </c>
      <c r="C28" s="18"/>
      <c r="D28" s="18"/>
      <c r="E28" s="18"/>
      <c r="F28" s="18"/>
      <c r="G28" s="18"/>
      <c r="H28" s="18"/>
      <c r="I28" s="18"/>
      <c r="J28" s="18"/>
    </row>
    <row r="29" ht="64" customHeight="1" spans="1:10">
      <c r="A29" s="15" t="s">
        <v>167</v>
      </c>
      <c r="B29" s="17" t="s">
        <v>168</v>
      </c>
      <c r="C29" s="17"/>
      <c r="D29" s="17"/>
      <c r="E29" s="17"/>
      <c r="F29" s="17"/>
      <c r="G29" s="17"/>
      <c r="H29" s="17"/>
      <c r="I29" s="17"/>
      <c r="J29" s="17"/>
    </row>
    <row r="31" ht="18" customHeight="1" spans="1:8">
      <c r="A31" t="s">
        <v>112</v>
      </c>
      <c r="E31" s="6" t="s">
        <v>113</v>
      </c>
      <c r="F31" s="6"/>
      <c r="H31" s="21" t="s">
        <v>114</v>
      </c>
    </row>
    <row r="32" ht="30" customHeight="1" spans="9:10">
      <c r="I32" s="23" t="s">
        <v>169</v>
      </c>
      <c r="J32" s="23"/>
    </row>
  </sheetData>
  <mergeCells count="75">
    <mergeCell ref="G1:J1"/>
    <mergeCell ref="G2:J2"/>
    <mergeCell ref="G3:J3"/>
    <mergeCell ref="A4:J4"/>
    <mergeCell ref="A6:B6"/>
    <mergeCell ref="C6:J6"/>
    <mergeCell ref="A7:B7"/>
    <mergeCell ref="C7:J7"/>
    <mergeCell ref="A8:B8"/>
    <mergeCell ref="C8:J8"/>
    <mergeCell ref="A9:B9"/>
    <mergeCell ref="C9:F9"/>
    <mergeCell ref="G9:H9"/>
    <mergeCell ref="I9:J9"/>
    <mergeCell ref="A10:B10"/>
    <mergeCell ref="C10:F10"/>
    <mergeCell ref="G10:H10"/>
    <mergeCell ref="I10:J10"/>
    <mergeCell ref="A11:B11"/>
    <mergeCell ref="C11:F11"/>
    <mergeCell ref="G11:H11"/>
    <mergeCell ref="I11:J11"/>
    <mergeCell ref="A12:B12"/>
    <mergeCell ref="C12:F12"/>
    <mergeCell ref="G12:H12"/>
    <mergeCell ref="I12:J12"/>
    <mergeCell ref="A13:B13"/>
    <mergeCell ref="C13:F13"/>
    <mergeCell ref="G13:H13"/>
    <mergeCell ref="I13:J13"/>
    <mergeCell ref="A14:B14"/>
    <mergeCell ref="C14:F14"/>
    <mergeCell ref="G14:H14"/>
    <mergeCell ref="I14:J14"/>
    <mergeCell ref="A15:B15"/>
    <mergeCell ref="C15:F15"/>
    <mergeCell ref="G15:J15"/>
    <mergeCell ref="A16:B16"/>
    <mergeCell ref="C16:F16"/>
    <mergeCell ref="G16:J16"/>
    <mergeCell ref="A17:B17"/>
    <mergeCell ref="C17:F17"/>
    <mergeCell ref="G17:J17"/>
    <mergeCell ref="A18:B18"/>
    <mergeCell ref="C18:F18"/>
    <mergeCell ref="G18:J18"/>
    <mergeCell ref="A19:B19"/>
    <mergeCell ref="C19:F19"/>
    <mergeCell ref="G19:J19"/>
    <mergeCell ref="A20:B20"/>
    <mergeCell ref="C20:F20"/>
    <mergeCell ref="G20:J20"/>
    <mergeCell ref="A21:B21"/>
    <mergeCell ref="C21:F21"/>
    <mergeCell ref="G21:J21"/>
    <mergeCell ref="A22:B22"/>
    <mergeCell ref="C22:F22"/>
    <mergeCell ref="G22:J22"/>
    <mergeCell ref="A23:B23"/>
    <mergeCell ref="C23:F23"/>
    <mergeCell ref="G23:J23"/>
    <mergeCell ref="A24:B24"/>
    <mergeCell ref="C24:F24"/>
    <mergeCell ref="G24:J24"/>
    <mergeCell ref="A25:B25"/>
    <mergeCell ref="C25:F25"/>
    <mergeCell ref="G25:J25"/>
    <mergeCell ref="B26:J26"/>
    <mergeCell ref="B27:J27"/>
    <mergeCell ref="B28:J28"/>
    <mergeCell ref="B29:J29"/>
    <mergeCell ref="E31:F31"/>
    <mergeCell ref="I32:J32"/>
    <mergeCell ref="A1:B2"/>
    <mergeCell ref="C1:D2"/>
  </mergeCells>
  <printOptions horizontalCentered="1"/>
  <pageMargins left="0.700694444444445" right="0.700694444444445" top="0.751388888888889" bottom="0.275" header="0.298611111111111" footer="0.298611111111111"/>
  <pageSetup paperSize="9" orientation="portrait" horizontalDpi="600"/>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9</vt:i4>
      </vt:variant>
    </vt:vector>
  </HeadingPairs>
  <TitlesOfParts>
    <vt:vector size="9" baseType="lpstr">
      <vt:lpstr>委托单位信息</vt:lpstr>
      <vt:lpstr>砌体检测</vt:lpstr>
      <vt:lpstr>委托单</vt:lpstr>
      <vt:lpstr>烧结普通砖检测报告（MU10)</vt:lpstr>
      <vt:lpstr>烧结普通砖检测报告（MU15) </vt:lpstr>
      <vt:lpstr>烧结空心砖</vt:lpstr>
      <vt:lpstr>150401-2020000003</vt:lpstr>
      <vt:lpstr>150401-2020000004</vt:lpstr>
      <vt:lpstr>混凝土实心砖</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2021-06-22T09:08:00Z</dcterms:created>
  <dcterms:modified xsi:type="dcterms:W3CDTF">2021-12-15T09:34:02Z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50D5BED2DFF244748D84E02C0A744AB0</vt:lpwstr>
  </property>
  <property fmtid="{D5CDD505-2E9C-101B-9397-08002B2CF9AE}" pid="3" name="KSOProductBuildVer">
    <vt:lpwstr>2052-11.1.0.11115</vt:lpwstr>
  </property>
</Properties>
</file>