
<file path=[Content_Types].xml><?xml version="1.0" encoding="utf-8"?>
<Types xmlns="http://schemas.openxmlformats.org/package/2006/content-types">
  <Default Extension="vml" ContentType="application/vnd.openxmlformats-officedocument.vmlDrawing"/>
  <Default Extension="wmf" ContentType="image/x-wmf"/>
  <Default Extension="jpeg" ContentType="image/jpeg"/>
  <Default Extension="JPG" ContentType="image/.jp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090" activeTab="4"/>
  </bookViews>
  <sheets>
    <sheet name="委托单位信息" sheetId="8" r:id="rId1"/>
    <sheet name="碎石检测" sheetId="10" r:id="rId2"/>
    <sheet name="委托单" sheetId="9" r:id="rId3"/>
    <sheet name="石子原始记录（新）" sheetId="6" r:id="rId4"/>
    <sheet name="石子检测报告" sheetId="4" r:id="rId5"/>
  </sheets>
  <externalReferences>
    <externalReference r:id="rId6"/>
    <externalReference r:id="rId7"/>
    <externalReference r:id="rId8"/>
    <externalReference r:id="rId9"/>
  </externalReferences>
  <definedNames>
    <definedName name="_xlnm._FilterDatabase" localSheetId="0" hidden="1">委托单位信息!$A$2:$K$11</definedName>
    <definedName name="_xlnm.Print_Area" localSheetId="4">石子检测报告!$A$1:$I$36</definedName>
    <definedName name="_xlnm.Print_Area" localSheetId="3">'石子原始记录（新）'!$A$1:$O$61</definedName>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<sst xmlns="http://schemas.openxmlformats.org/spreadsheetml/2006/main" count="672" uniqueCount="277">
  <si>
    <t>送检单位信息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</si>
  <si>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</si>
  <si>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</si>
  <si>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</si>
  <si>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</si>
  <si>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</si>
  <si>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</si>
  <si>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</si>
  <si>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</si>
  <si>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</si>
  <si>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</si>
  <si>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</si>
  <si>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</si>
  <si>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</si>
  <si>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</si>
  <si>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</si>
  <si>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</si>
  <si>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</si>
  <si>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</si>
  <si>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</si>
  <si>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</si>
  <si>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</si>
  <si>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</si>
  <si>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</si>
  <si>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</si>
  <si>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</si>
  <si>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</si>
  <si>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</si>
  <si>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</si>
  <si>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</si>
  <si>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</si>
  <si>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</si>
  <si>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</si>
  <si>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</si>
  <si>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</si>
  <si>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</si>
  <si>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</si>
  <si>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XW008</t>
  </si>
  <si>
    <t>兴文县共乐中心镇创新文旅融合产业园建设项目-观光农田提升改造项目</t>
  </si>
  <si>
    <t>绿宜建设集团有限公司</t>
  </si>
  <si>
    <t>四川同达建设有限公司</t>
  </si>
  <si>
    <t>杨宗新</t>
  </si>
  <si>
    <t>杨小坤</t>
  </si>
  <si>
    <t>XW009</t>
  </si>
  <si>
    <t>兴文县麒麟苗族乡海纳村党群服务中心建设项目</t>
  </si>
  <si>
    <t>兴文县鼎立建筑工程有限公司</t>
  </si>
  <si>
    <t>——</t>
  </si>
  <si>
    <t>曾志平</t>
  </si>
  <si>
    <t>无见证取样送检</t>
  </si>
  <si>
    <t>石子原材检测样品信息</t>
  </si>
  <si>
    <t>项目名称</t>
  </si>
  <si>
    <t>类型</t>
  </si>
  <si>
    <t>等级规格</t>
  </si>
  <si>
    <t>生产厂家</t>
  </si>
  <si>
    <t>出厂日期</t>
  </si>
  <si>
    <t>出厂批号</t>
  </si>
  <si>
    <t>代表批量</t>
  </si>
  <si>
    <t>使用部位</t>
  </si>
  <si>
    <t>样品数量（组）</t>
  </si>
  <si>
    <t>送检日期</t>
  </si>
  <si>
    <t>检测编号</t>
  </si>
  <si>
    <t>普通</t>
  </si>
  <si>
    <t>碎石5-25mm</t>
  </si>
  <si>
    <t>芦山县大发砂石厂</t>
  </si>
  <si>
    <t>600t</t>
  </si>
  <si>
    <t>桩板墙</t>
  </si>
  <si>
    <t>150504-2021000011</t>
  </si>
  <si>
    <t>150504-2021000012</t>
  </si>
  <si>
    <t>兴文县久庆仁和采石厂</t>
  </si>
  <si>
    <t>328t</t>
  </si>
  <si>
    <t>道路、挡墙、沟渠</t>
  </si>
  <si>
    <t>150504-2021000028</t>
  </si>
  <si>
    <t>麒麟三合石场</t>
  </si>
  <si>
    <t>135T</t>
  </si>
  <si>
    <t>基础、主体</t>
  </si>
  <si>
    <t>150504-2020000015</t>
  </si>
  <si>
    <t>四川恒固建设工程检测有限公司</t>
  </si>
  <si>
    <t>送检日期：</t>
  </si>
  <si>
    <t>环境温度：</t>
  </si>
  <si>
    <t>℃</t>
  </si>
  <si>
    <t>检测编号：</t>
  </si>
  <si>
    <t>150504-20200000</t>
  </si>
  <si>
    <t>15</t>
  </si>
  <si>
    <t>石检测原始记录（1）</t>
  </si>
  <si>
    <t>检测日期：</t>
  </si>
  <si>
    <t>水温：</t>
  </si>
  <si>
    <t>HG-4023072-2018</t>
  </si>
  <si>
    <t>连续级配</t>
  </si>
  <si>
    <t>单粒级配</t>
  </si>
  <si>
    <t>5-16</t>
  </si>
  <si>
    <t>5-20</t>
  </si>
  <si>
    <t>5-25</t>
  </si>
  <si>
    <t>5-31.5</t>
  </si>
  <si>
    <t>5-40</t>
  </si>
  <si>
    <t>5-10</t>
  </si>
  <si>
    <t>10-16</t>
  </si>
  <si>
    <t>10-20</t>
  </si>
  <si>
    <t>16-25</t>
  </si>
  <si>
    <t>16-31.5</t>
  </si>
  <si>
    <t>20-40</t>
  </si>
  <si>
    <t>40-80</t>
  </si>
  <si>
    <t>品种规格</t>
  </si>
  <si>
    <t>碎石</t>
  </si>
  <si>
    <t>mm</t>
  </si>
  <si>
    <t>年</t>
  </si>
  <si>
    <t>月</t>
  </si>
  <si>
    <t>日</t>
  </si>
  <si>
    <t>表观密度最少质量（g）</t>
  </si>
  <si>
    <t>试样状态</t>
  </si>
  <si>
    <r>
      <rPr>
        <sz val="11"/>
        <color theme="1"/>
        <rFont val="Wingdings 2"/>
        <charset val="134"/>
      </rPr>
      <t>£</t>
    </r>
    <r>
      <rPr>
        <sz val="11"/>
        <color theme="1"/>
        <rFont val="宋体"/>
        <charset val="134"/>
      </rPr>
      <t>浅黄色；</t>
    </r>
  </si>
  <si>
    <r>
      <rPr>
        <sz val="11"/>
        <color theme="1"/>
        <rFont val="Wingdings 2"/>
        <charset val="134"/>
      </rPr>
      <t>R</t>
    </r>
    <r>
      <rPr>
        <sz val="11"/>
        <color theme="1"/>
        <rFont val="宋体"/>
        <charset val="134"/>
      </rPr>
      <t>灰色；</t>
    </r>
  </si>
  <si>
    <t>R干燥固体；</t>
  </si>
  <si>
    <t>R无杂质；</t>
  </si>
  <si>
    <t>容量筒选择</t>
  </si>
  <si>
    <t>检测依据</t>
  </si>
  <si>
    <t>JGJ52-2006</t>
  </si>
  <si>
    <t>针片状含量检测最少质量</t>
  </si>
  <si>
    <r>
      <rPr>
        <sz val="11"/>
        <color theme="1"/>
        <rFont val="宋体"/>
        <charset val="134"/>
        <scheme val="minor"/>
      </rPr>
      <t xml:space="preserve">表观密度
</t>
    </r>
    <r>
      <rPr>
        <sz val="11"/>
        <color theme="1"/>
        <rFont val="Wingdings 2"/>
        <charset val="134"/>
      </rPr>
      <t>R</t>
    </r>
    <r>
      <rPr>
        <sz val="11"/>
        <color theme="1"/>
        <rFont val="宋体"/>
        <charset val="134"/>
        <scheme val="minor"/>
      </rPr>
      <t xml:space="preserve">标准法
</t>
    </r>
    <r>
      <rPr>
        <sz val="11"/>
        <color theme="1"/>
        <rFont val="Wingdings 2"/>
        <charset val="134"/>
      </rPr>
      <t>£</t>
    </r>
    <r>
      <rPr>
        <sz val="11"/>
        <color theme="1"/>
        <rFont val="宋体"/>
        <charset val="134"/>
        <scheme val="minor"/>
      </rPr>
      <t>简易法</t>
    </r>
  </si>
  <si>
    <t>检测日期</t>
  </si>
  <si>
    <t>检测环境</t>
  </si>
  <si>
    <t>温度：</t>
  </si>
  <si>
    <t>含泥量检测最少质量</t>
  </si>
  <si>
    <t>样品状态调节：试样置于容器中，注入水后浸泡24h</t>
  </si>
  <si>
    <t>（</t>
  </si>
  <si>
    <t>～</t>
  </si>
  <si>
    <t>）</t>
  </si>
  <si>
    <t>筛分最少质量</t>
  </si>
  <si>
    <t>检测次数</t>
  </si>
  <si>
    <t>烘干试样质量
G0、m0(g)</t>
  </si>
  <si>
    <t>吊篮及试样在水中总质量 G1、m1(g)</t>
  </si>
  <si>
    <t>吊篮在水中的质量
 G2、m2(g)</t>
  </si>
  <si>
    <t>水密度(kg/m3)</t>
  </si>
  <si>
    <t>水温（℃）</t>
  </si>
  <si>
    <t>水温修正系数</t>
  </si>
  <si>
    <t>表观密度(kg/m3)</t>
  </si>
  <si>
    <t>筛分质量(推荐）</t>
  </si>
  <si>
    <t>单个值</t>
  </si>
  <si>
    <t>平均值</t>
  </si>
  <si>
    <t>大于等于</t>
  </si>
  <si>
    <t>两次结果之差不超过20</t>
  </si>
  <si>
    <t>第1次</t>
  </si>
  <si>
    <t>第2次</t>
  </si>
  <si>
    <t>试样、水、瓶及玻璃片总质量 G1、m1(g)</t>
  </si>
  <si>
    <t>水、瓶及玻璃片总质量
 G2、m2(g)</t>
  </si>
  <si>
    <t>堆积密度及空隙率</t>
  </si>
  <si>
    <t>容量筒质量
G2、m1(g)</t>
  </si>
  <si>
    <t>容量筒
与石总质量G1、m2(g)</t>
  </si>
  <si>
    <t>容量筒容积V（L）</t>
  </si>
  <si>
    <t>单个值(kg/m3)</t>
  </si>
  <si>
    <t>平均值(kg/m3)</t>
  </si>
  <si>
    <t>空隙率（%）</t>
  </si>
  <si>
    <t>容量筒校准规格及重量</t>
  </si>
  <si>
    <t>标准值(L)</t>
  </si>
  <si>
    <t>实测值(L)</t>
  </si>
  <si>
    <t>重量(g)</t>
  </si>
  <si>
    <t>针、片状含量</t>
  </si>
  <si>
    <t>试样中所含针、片状颗粒总质量G2、m1(g)</t>
  </si>
  <si>
    <t>试样总质量G1、m0(g)</t>
  </si>
  <si>
    <t>针、片状颗粒含量(%)</t>
  </si>
  <si>
    <t>含泥量</t>
  </si>
  <si>
    <t>样品状态调节：试样置于容器中，注入水后浸泡2h</t>
  </si>
  <si>
    <t>试验前烘干试样质量
G1、m0(g)</t>
  </si>
  <si>
    <t>试验后烘干质量G2、m1(g)</t>
  </si>
  <si>
    <t>含泥量（%）</t>
  </si>
  <si>
    <t>单个值之差不超过0.2%</t>
  </si>
  <si>
    <t>泥块含量</t>
  </si>
  <si>
    <t>4.75mm筛上
烘干量G1、m1(g)</t>
  </si>
  <si>
    <t>试验后烘干
试样量 G2、m2(g)</t>
  </si>
  <si>
    <t>泥块含量（%）</t>
  </si>
  <si>
    <t>压碎值指标</t>
  </si>
  <si>
    <t>试样质量 m0(g)</t>
  </si>
  <si>
    <t>试样压碎后筛余量 m1(g)</t>
  </si>
  <si>
    <t>单个值(%)</t>
  </si>
  <si>
    <t>压碎值指标(%)</t>
  </si>
  <si>
    <t>第3次</t>
  </si>
  <si>
    <r>
      <rPr>
        <sz val="11"/>
        <color theme="1"/>
        <rFont val="宋体"/>
        <charset val="134"/>
        <scheme val="minor"/>
      </rPr>
      <t xml:space="preserve">岩石抗压强度试验
</t>
    </r>
    <r>
      <rPr>
        <sz val="11"/>
        <color theme="1"/>
        <rFont val="Wingdings 2"/>
        <charset val="134"/>
      </rPr>
      <t>£</t>
    </r>
    <r>
      <rPr>
        <sz val="11"/>
        <color theme="1"/>
        <rFont val="宋体"/>
        <charset val="134"/>
        <scheme val="minor"/>
      </rPr>
      <t xml:space="preserve">无显著层理
</t>
    </r>
    <r>
      <rPr>
        <sz val="11"/>
        <color theme="1"/>
        <rFont val="Wingdings 2"/>
        <charset val="134"/>
      </rPr>
      <t>£</t>
    </r>
    <r>
      <rPr>
        <sz val="11"/>
        <color theme="1"/>
        <rFont val="宋体"/>
        <charset val="134"/>
        <scheme val="minor"/>
      </rPr>
      <t>有显著层理</t>
    </r>
  </si>
  <si>
    <t>—</t>
  </si>
  <si>
    <r>
      <rPr>
        <sz val="11"/>
        <color theme="1"/>
        <rFont val="宋体"/>
        <charset val="134"/>
        <scheme val="minor"/>
      </rPr>
      <t>试件的截面积（mm</t>
    </r>
    <r>
      <rPr>
        <vertAlign val="superscript"/>
        <sz val="11"/>
        <color theme="1"/>
        <rFont val="宋体"/>
        <charset val="134"/>
        <scheme val="minor"/>
      </rPr>
      <t>2</t>
    </r>
    <r>
      <rPr>
        <sz val="11"/>
        <color theme="1"/>
        <rFont val="宋体"/>
        <charset val="134"/>
        <scheme val="minor"/>
      </rPr>
      <t>）</t>
    </r>
  </si>
  <si>
    <t>试件编号</t>
  </si>
  <si>
    <t>饱和状态时
破坏荷载(N)</t>
  </si>
  <si>
    <t>抗压强度(MPa)</t>
  </si>
  <si>
    <t>颗粒级配</t>
  </si>
  <si>
    <t>试样质量</t>
  </si>
  <si>
    <t>遗失量不超过0.1%</t>
  </si>
  <si>
    <t>公称粒级</t>
  </si>
  <si>
    <t>筛孔径</t>
  </si>
  <si>
    <t xml:space="preserve">筛余量（g） </t>
  </si>
  <si>
    <t>分计筛余百分率（%）</t>
  </si>
  <si>
    <t>累计筛余百分率（%）</t>
  </si>
  <si>
    <t>筛余尺寸</t>
  </si>
  <si>
    <t>累计筛余(%)</t>
  </si>
  <si>
    <t>检测结果(%)</t>
  </si>
  <si>
    <t>孔径</t>
  </si>
  <si>
    <t>累计范围</t>
  </si>
  <si>
    <t>最小值</t>
  </si>
  <si>
    <t>最大值</t>
  </si>
  <si>
    <t>53.0（53.0）mm</t>
  </si>
  <si>
    <t>0</t>
  </si>
  <si>
    <r>
      <rPr>
        <sz val="11"/>
        <color theme="1"/>
        <rFont val="宋体"/>
        <charset val="134"/>
        <scheme val="minor"/>
      </rPr>
      <t>0</t>
    </r>
    <r>
      <rPr>
        <sz val="11"/>
        <color theme="1"/>
        <rFont val="宋体"/>
        <charset val="134"/>
      </rPr>
      <t>～</t>
    </r>
    <r>
      <rPr>
        <sz val="11"/>
        <color theme="1"/>
        <rFont val="宋体"/>
        <charset val="134"/>
        <scheme val="minor"/>
      </rPr>
      <t>10</t>
    </r>
  </si>
  <si>
    <t>30～60</t>
  </si>
  <si>
    <t>30</t>
  </si>
  <si>
    <t>60</t>
  </si>
  <si>
    <t>85～100</t>
  </si>
  <si>
    <t>85</t>
  </si>
  <si>
    <t>100</t>
  </si>
  <si>
    <t>95～100</t>
  </si>
  <si>
    <t>95</t>
  </si>
  <si>
    <t>40.0（37.5）mm</t>
  </si>
  <si>
    <t>0～10</t>
  </si>
  <si>
    <t>40～80</t>
  </si>
  <si>
    <t>40</t>
  </si>
  <si>
    <t>80</t>
  </si>
  <si>
    <t>90～100</t>
  </si>
  <si>
    <t>90</t>
  </si>
  <si>
    <t>31.5（31.5）mm</t>
  </si>
  <si>
    <t>0～5</t>
  </si>
  <si>
    <t>30～70</t>
  </si>
  <si>
    <t>25.0（26.5）mm</t>
  </si>
  <si>
    <t>15～45</t>
  </si>
  <si>
    <t>5</t>
  </si>
  <si>
    <t>70～90</t>
  </si>
  <si>
    <t>70</t>
  </si>
  <si>
    <t>20.0（19.0）mm</t>
  </si>
  <si>
    <t>30～65</t>
  </si>
  <si>
    <t>16.0（16.0）mm</t>
  </si>
  <si>
    <t>0～15</t>
  </si>
  <si>
    <t>80～100</t>
  </si>
  <si>
    <t>10.0（9.50）mm</t>
  </si>
  <si>
    <t>5.00（4.75）mm</t>
  </si>
  <si>
    <t>2.50（2.36）mm</t>
  </si>
  <si>
    <t>10</t>
  </si>
  <si>
    <t>25～40</t>
  </si>
  <si>
    <t>55～70</t>
  </si>
  <si>
    <t>55</t>
  </si>
  <si>
    <t>底筛</t>
  </si>
  <si>
    <t>遗失量（g）</t>
  </si>
  <si>
    <t>主要检测设备及编号</t>
  </si>
  <si>
    <r>
      <rPr>
        <sz val="11"/>
        <color theme="1"/>
        <rFont val="Wingdings 2"/>
        <charset val="134"/>
      </rPr>
      <t>R</t>
    </r>
    <r>
      <rPr>
        <sz val="11"/>
        <color theme="1"/>
        <rFont val="宋体"/>
        <charset val="134"/>
        <scheme val="minor"/>
      </rPr>
      <t xml:space="preserve">ZBSX-92A 顶击式标准震摆仪/15-J-009    </t>
    </r>
    <r>
      <rPr>
        <sz val="11"/>
        <color theme="1"/>
        <rFont val="Wingdings 2"/>
        <charset val="134"/>
      </rPr>
      <t>R</t>
    </r>
    <r>
      <rPr>
        <sz val="11"/>
        <color theme="1"/>
        <rFont val="宋体"/>
        <charset val="134"/>
        <scheme val="minor"/>
      </rPr>
      <t xml:space="preserve">DYW-300DFZ万能试验机/15-J-004      
</t>
    </r>
    <r>
      <rPr>
        <sz val="11"/>
        <color theme="1"/>
        <rFont val="Wingdings 2"/>
        <charset val="134"/>
      </rPr>
      <t>R</t>
    </r>
    <r>
      <rPr>
        <sz val="11"/>
        <color theme="1"/>
        <rFont val="宋体"/>
        <charset val="134"/>
        <scheme val="minor"/>
      </rPr>
      <t xml:space="preserve">101-3A红外线电热鼓风干燥箱/15-J-009   </t>
    </r>
    <r>
      <rPr>
        <sz val="11"/>
        <color theme="1"/>
        <rFont val="Wingdings 2"/>
        <charset val="134"/>
      </rPr>
      <t>R</t>
    </r>
    <r>
      <rPr>
        <sz val="11"/>
        <color theme="1"/>
        <rFont val="宋体"/>
        <charset val="134"/>
        <scheme val="minor"/>
      </rPr>
      <t xml:space="preserve">JY5001浸水天平/15-J-052          
</t>
    </r>
    <r>
      <rPr>
        <sz val="11"/>
        <color theme="1"/>
        <rFont val="Wingdings 2"/>
        <charset val="134"/>
      </rPr>
      <t>R</t>
    </r>
    <r>
      <rPr>
        <sz val="11"/>
        <color theme="1"/>
        <rFont val="宋体"/>
        <charset val="134"/>
        <scheme val="minor"/>
      </rPr>
      <t xml:space="preserve">JSB15-05电子台秤/15-J-017             </t>
    </r>
    <r>
      <rPr>
        <sz val="11"/>
        <color theme="1"/>
        <rFont val="Wingdings 2"/>
        <charset val="134"/>
      </rPr>
      <t>R</t>
    </r>
    <r>
      <rPr>
        <sz val="11"/>
        <color theme="1"/>
        <rFont val="宋体"/>
        <charset val="134"/>
        <scheme val="minor"/>
      </rPr>
      <t xml:space="preserve">方孔石子筛/15-J-051
</t>
    </r>
    <r>
      <rPr>
        <sz val="11"/>
        <color theme="1"/>
        <rFont val="Wingdings 2"/>
        <charset val="134"/>
      </rPr>
      <t>R</t>
    </r>
    <r>
      <rPr>
        <sz val="11"/>
        <color theme="1"/>
        <rFont val="宋体"/>
        <charset val="134"/>
        <scheme val="minor"/>
      </rPr>
      <t>JE1002电子天平/15-J-015</t>
    </r>
  </si>
  <si>
    <t>70～100</t>
  </si>
  <si>
    <t>1.请在所选项前“□”打“√”表示。</t>
  </si>
  <si>
    <t>四川恒固建设工程检测有限公司兴文分公司</t>
  </si>
  <si>
    <t>四川省宜宾市兴文县古宋镇马栏湾村二组中华苑3号楼1层26户室</t>
  </si>
  <si>
    <t>0831-8833125</t>
  </si>
  <si>
    <t>石检测报告</t>
  </si>
  <si>
    <t>项目编号</t>
  </si>
  <si>
    <t>见证人员</t>
  </si>
  <si>
    <t>产地</t>
  </si>
  <si>
    <t>品种粒径</t>
  </si>
  <si>
    <t>报告日期</t>
  </si>
  <si>
    <t>样品状态描述</t>
  </si>
  <si>
    <t>灰色、无杂质、干燥固体、含微量石粉。</t>
  </si>
  <si>
    <t>检测项目</t>
  </si>
  <si>
    <t>标准要求</t>
  </si>
  <si>
    <t>检测结果</t>
  </si>
  <si>
    <t>单项判定</t>
  </si>
  <si>
    <r>
      <rPr>
        <sz val="11"/>
        <color theme="1"/>
        <rFont val="宋体"/>
        <charset val="134"/>
        <scheme val="minor"/>
      </rPr>
      <t>表观密度（kg/m</t>
    </r>
    <r>
      <rPr>
        <vertAlign val="superscript"/>
        <sz val="11"/>
        <color theme="1"/>
        <rFont val="宋体"/>
        <charset val="134"/>
        <scheme val="minor"/>
      </rPr>
      <t>3</t>
    </r>
    <r>
      <rPr>
        <sz val="11"/>
        <color theme="1"/>
        <rFont val="宋体"/>
        <charset val="134"/>
        <scheme val="minor"/>
      </rPr>
      <t>)</t>
    </r>
  </si>
  <si>
    <t>堆积密度（kg/m3)</t>
  </si>
  <si>
    <t>空隙率(%)</t>
  </si>
  <si>
    <t>含泥量(%)</t>
  </si>
  <si>
    <r>
      <rPr>
        <sz val="11"/>
        <color theme="1"/>
        <rFont val="宋体"/>
        <charset val="134"/>
      </rPr>
      <t>≥</t>
    </r>
    <r>
      <rPr>
        <sz val="11"/>
        <color theme="1"/>
        <rFont val="宋体"/>
        <charset val="134"/>
        <scheme val="minor"/>
      </rPr>
      <t>C60时为</t>
    </r>
    <r>
      <rPr>
        <sz val="11"/>
        <color theme="1"/>
        <rFont val="宋体"/>
        <charset val="134"/>
      </rPr>
      <t>≤</t>
    </r>
    <r>
      <rPr>
        <sz val="11"/>
        <color theme="1"/>
        <rFont val="宋体"/>
        <charset val="134"/>
        <scheme val="minor"/>
      </rPr>
      <t>1.0；C55</t>
    </r>
    <r>
      <rPr>
        <sz val="11"/>
        <color theme="1"/>
        <rFont val="宋体"/>
        <charset val="134"/>
      </rPr>
      <t>～</t>
    </r>
    <r>
      <rPr>
        <sz val="11"/>
        <color theme="1"/>
        <rFont val="宋体"/>
        <charset val="134"/>
        <scheme val="minor"/>
      </rPr>
      <t>C30时为≤1.5；≤C25时为≤3.0</t>
    </r>
  </si>
  <si>
    <t>合格</t>
  </si>
  <si>
    <t>泥块含量(%)</t>
  </si>
  <si>
    <r>
      <rPr>
        <sz val="11"/>
        <color theme="1"/>
        <rFont val="宋体"/>
        <charset val="134"/>
      </rPr>
      <t>≥</t>
    </r>
    <r>
      <rPr>
        <sz val="11"/>
        <color theme="1"/>
        <rFont val="宋体"/>
        <charset val="134"/>
        <scheme val="minor"/>
      </rPr>
      <t>C60时为</t>
    </r>
    <r>
      <rPr>
        <sz val="11"/>
        <color theme="1"/>
        <rFont val="宋体"/>
        <charset val="134"/>
      </rPr>
      <t>≤0.2</t>
    </r>
    <r>
      <rPr>
        <sz val="11"/>
        <color theme="1"/>
        <rFont val="宋体"/>
        <charset val="134"/>
        <scheme val="minor"/>
      </rPr>
      <t>；C55</t>
    </r>
    <r>
      <rPr>
        <sz val="11"/>
        <color theme="1"/>
        <rFont val="宋体"/>
        <charset val="134"/>
      </rPr>
      <t>～</t>
    </r>
    <r>
      <rPr>
        <sz val="11"/>
        <color theme="1"/>
        <rFont val="宋体"/>
        <charset val="134"/>
        <scheme val="minor"/>
      </rPr>
      <t>C30时为≤</t>
    </r>
    <r>
      <rPr>
        <sz val="11"/>
        <color theme="1"/>
        <rFont val="宋体"/>
        <charset val="134"/>
      </rPr>
      <t>0</t>
    </r>
    <r>
      <rPr>
        <sz val="11"/>
        <color theme="1"/>
        <rFont val="宋体"/>
        <charset val="134"/>
        <scheme val="minor"/>
      </rPr>
      <t>.5；≤C25时为≤</t>
    </r>
    <r>
      <rPr>
        <sz val="11"/>
        <color theme="1"/>
        <rFont val="宋体"/>
        <charset val="134"/>
      </rPr>
      <t>0.7</t>
    </r>
  </si>
  <si>
    <r>
      <rPr>
        <sz val="11"/>
        <color theme="1"/>
        <rFont val="宋体"/>
        <charset val="134"/>
        <scheme val="minor"/>
      </rPr>
      <t>C60</t>
    </r>
    <r>
      <rPr>
        <sz val="11"/>
        <color theme="1"/>
        <rFont val="宋体"/>
        <charset val="134"/>
      </rPr>
      <t>～</t>
    </r>
    <r>
      <rPr>
        <sz val="11"/>
        <color theme="1"/>
        <rFont val="宋体"/>
        <charset val="134"/>
        <scheme val="minor"/>
      </rPr>
      <t>C40时为≤10；≤C35时为≤16</t>
    </r>
  </si>
  <si>
    <t>针片状颗粒含量(%)</t>
  </si>
  <si>
    <r>
      <rPr>
        <sz val="11"/>
        <color theme="1"/>
        <rFont val="宋体"/>
        <charset val="134"/>
      </rPr>
      <t>≥</t>
    </r>
    <r>
      <rPr>
        <sz val="11"/>
        <color theme="1"/>
        <rFont val="宋体"/>
        <charset val="134"/>
        <scheme val="minor"/>
      </rPr>
      <t>C60时为</t>
    </r>
    <r>
      <rPr>
        <sz val="11"/>
        <color theme="1"/>
        <rFont val="宋体"/>
        <charset val="134"/>
      </rPr>
      <t>≤8</t>
    </r>
    <r>
      <rPr>
        <sz val="11"/>
        <color theme="1"/>
        <rFont val="宋体"/>
        <charset val="134"/>
        <scheme val="minor"/>
      </rPr>
      <t>；C55</t>
    </r>
    <r>
      <rPr>
        <sz val="11"/>
        <color theme="1"/>
        <rFont val="宋体"/>
        <charset val="134"/>
      </rPr>
      <t>～</t>
    </r>
    <r>
      <rPr>
        <sz val="11"/>
        <color theme="1"/>
        <rFont val="宋体"/>
        <charset val="134"/>
        <scheme val="minor"/>
      </rPr>
      <t>C30时为≤</t>
    </r>
    <r>
      <rPr>
        <sz val="11"/>
        <color theme="1"/>
        <rFont val="宋体"/>
        <charset val="134"/>
      </rPr>
      <t>15</t>
    </r>
    <r>
      <rPr>
        <sz val="11"/>
        <color theme="1"/>
        <rFont val="宋体"/>
        <charset val="134"/>
        <scheme val="minor"/>
      </rPr>
      <t>；≤C25时为≤</t>
    </r>
    <r>
      <rPr>
        <sz val="11"/>
        <color theme="1"/>
        <rFont val="宋体"/>
        <charset val="134"/>
      </rPr>
      <t>25</t>
    </r>
  </si>
  <si>
    <t>岩石抗压强度(MPa)</t>
  </si>
  <si>
    <t>颗粒级配累计筛余(%)</t>
  </si>
  <si>
    <t>筛孔尺寸(mm)</t>
  </si>
  <si>
    <t>检测结论</t>
  </si>
  <si>
    <t>经检测，该样品所检参数中含泥量、泥块含量、针片状颗粒含量、压碎值指标符合JGJ 52-2006要求。</t>
  </si>
  <si>
    <t>备  注</t>
  </si>
  <si>
    <t>声明</t>
  </si>
  <si>
    <t>1.未加盖本公司“检验检测专用章”，报告无效。
2.送样检测，仅对来样检测负责。
3.对报告若有异议，应及时向检测单位提出。
4.复制报告未重新加盖本公司“检验检测专用章”，报告无效。</t>
  </si>
  <si>
    <t>签发：</t>
  </si>
  <si>
    <t>审核：</t>
  </si>
  <si>
    <t>检测：</t>
  </si>
</sst>
</file>

<file path=xl/styles.xml><?xml version="1.0" encoding="utf-8"?>
<styleSheet xmlns="http://schemas.openxmlformats.org/spreadsheetml/2006/main">
  <numFmts count="12">
    <numFmt numFmtId="176" formatCode="0.0_ "/>
    <numFmt numFmtId="41" formatCode="_ * #,##0_ ;_ * \-#,##0_ ;_ * &quot;-&quot;_ ;_ @_ "/>
    <numFmt numFmtId="43" formatCode="_ * #,##0.00_ ;_ * \-#,##0.00_ ;_ * &quot;-&quot;??_ ;_ @_ "/>
    <numFmt numFmtId="177" formatCode="yyyy\-mm\-dd"/>
    <numFmt numFmtId="42" formatCode="_ &quot;￥&quot;* #,##0_ ;_ &quot;￥&quot;* \-#,##0_ ;_ &quot;￥&quot;* &quot;-&quot;_ ;_ @_ "/>
    <numFmt numFmtId="44" formatCode="_ &quot;￥&quot;* #,##0.00_ ;_ &quot;￥&quot;* \-#,##0.00_ ;_ &quot;￥&quot;* &quot;-&quot;??_ ;_ @_ "/>
    <numFmt numFmtId="178" formatCode="0.00_ "/>
    <numFmt numFmtId="179" formatCode="0_ "/>
    <numFmt numFmtId="180" formatCode="yyyy/mm/dd"/>
    <numFmt numFmtId="181" formatCode="[h]:mm"/>
    <numFmt numFmtId="182" formatCode="0.000_ "/>
    <numFmt numFmtId="183" formatCode="0.0_);[Red]\(0.0\)"/>
  </numFmts>
  <fonts count="43">
    <font>
      <sz val="11"/>
      <color theme="1"/>
      <name val="宋体"/>
      <charset val="134"/>
      <scheme val="minor"/>
    </font>
    <font>
      <sz val="9"/>
      <color theme="1"/>
      <name val="宋体"/>
      <charset val="134"/>
      <scheme val="minor"/>
    </font>
    <font>
      <sz val="10"/>
      <color theme="1"/>
      <name val="宋体"/>
      <charset val="134"/>
      <scheme val="minor"/>
    </font>
    <font>
      <b/>
      <sz val="18"/>
      <color theme="1"/>
      <name val="宋体"/>
      <charset val="134"/>
      <scheme val="minor"/>
    </font>
    <font>
      <sz val="11"/>
      <color theme="1"/>
      <name val="宋体"/>
      <charset val="134"/>
    </font>
    <font>
      <sz val="12"/>
      <color theme="1"/>
      <name val="宋体"/>
      <charset val="134"/>
    </font>
    <font>
      <b/>
      <sz val="18"/>
      <color theme="1"/>
      <name val="宋体"/>
      <charset val="134"/>
    </font>
    <font>
      <sz val="11"/>
      <color theme="1"/>
      <name val="Wingdings 2"/>
      <charset val="134"/>
    </font>
    <font>
      <sz val="10.5"/>
      <color theme="1"/>
      <name val="宋体"/>
      <charset val="134"/>
    </font>
    <font>
      <sz val="10.5"/>
      <color rgb="FF000000"/>
      <name val="宋体"/>
      <charset val="134"/>
    </font>
    <font>
      <sz val="11"/>
      <color theme="1"/>
      <name val="SimSun"/>
      <charset val="134"/>
    </font>
    <font>
      <b/>
      <sz val="14"/>
      <color rgb="FF0070C0"/>
      <name val="宋体"/>
      <charset val="134"/>
      <scheme val="minor"/>
    </font>
    <font>
      <sz val="11"/>
      <color rgb="FF7030A0"/>
      <name val="宋体"/>
      <charset val="134"/>
      <scheme val="minor"/>
    </font>
    <font>
      <sz val="11"/>
      <color rgb="FF7030A0"/>
      <name val="SimSun"/>
      <charset val="134"/>
    </font>
    <font>
      <b/>
      <sz val="11"/>
      <color rgb="FF0070C0"/>
      <name val="宋体"/>
      <charset val="134"/>
      <scheme val="minor"/>
    </font>
    <font>
      <b/>
      <sz val="12"/>
      <color rgb="FF0070C0"/>
      <name val="宋体"/>
      <charset val="134"/>
      <scheme val="minor"/>
    </font>
    <font>
      <b/>
      <sz val="14"/>
      <color rgb="FFFF0000"/>
      <name val="宋体"/>
      <charset val="134"/>
      <scheme val="minor"/>
    </font>
    <font>
      <b/>
      <sz val="12"/>
      <color rgb="FFFF0000"/>
      <name val="宋体"/>
      <charset val="134"/>
      <scheme val="minor"/>
    </font>
    <font>
      <b/>
      <sz val="14"/>
      <color theme="1"/>
      <name val="宋体"/>
      <charset val="134"/>
      <scheme val="minor"/>
    </font>
    <font>
      <b/>
      <sz val="11"/>
      <color theme="1"/>
      <name val="宋体"/>
      <charset val="134"/>
      <scheme val="minor"/>
    </font>
    <font>
      <b/>
      <sz val="10.5"/>
      <color theme="1"/>
      <name val="宋体"/>
      <charset val="134"/>
    </font>
    <font>
      <sz val="12"/>
      <color theme="1"/>
      <name val="宋体"/>
      <charset val="134"/>
      <scheme val="minor"/>
    </font>
    <font>
      <b/>
      <sz val="12"/>
      <color theme="1"/>
      <name val="宋体"/>
      <charset val="134"/>
      <scheme val="minor"/>
    </font>
    <font>
      <sz val="11"/>
      <color theme="1"/>
      <name val="宋体"/>
      <charset val="0"/>
      <scheme val="minor"/>
    </font>
    <font>
      <sz val="11"/>
      <color theme="0"/>
      <name val="宋体"/>
      <charset val="0"/>
      <scheme val="minor"/>
    </font>
    <font>
      <b/>
      <sz val="11"/>
      <color rgb="FF3F3F3F"/>
      <name val="宋体"/>
      <charset val="0"/>
      <scheme val="minor"/>
    </font>
    <font>
      <b/>
      <sz val="15"/>
      <color theme="3"/>
      <name val="宋体"/>
      <charset val="134"/>
      <scheme val="minor"/>
    </font>
    <font>
      <sz val="11"/>
      <color rgb="FF3F3F76"/>
      <name val="宋体"/>
      <charset val="0"/>
      <scheme val="minor"/>
    </font>
    <font>
      <sz val="11"/>
      <color rgb="FF9C0006"/>
      <name val="宋体"/>
      <charset val="0"/>
      <scheme val="minor"/>
    </font>
    <font>
      <sz val="11"/>
      <color rgb="FF006100"/>
      <name val="宋体"/>
      <charset val="0"/>
      <scheme val="minor"/>
    </font>
    <font>
      <b/>
      <sz val="11"/>
      <color theme="1"/>
      <name val="宋体"/>
      <charset val="0"/>
      <scheme val="minor"/>
    </font>
    <font>
      <b/>
      <sz val="13"/>
      <color theme="3"/>
      <name val="宋体"/>
      <charset val="134"/>
      <scheme val="minor"/>
    </font>
    <font>
      <u/>
      <sz val="11"/>
      <color rgb="FF800080"/>
      <name val="宋体"/>
      <charset val="0"/>
      <scheme val="minor"/>
    </font>
    <font>
      <b/>
      <sz val="11"/>
      <color theme="3"/>
      <name val="宋体"/>
      <charset val="134"/>
      <scheme val="minor"/>
    </font>
    <font>
      <i/>
      <sz val="11"/>
      <color rgb="FF7F7F7F"/>
      <name val="宋体"/>
      <charset val="0"/>
      <scheme val="minor"/>
    </font>
    <font>
      <sz val="11"/>
      <color rgb="FFFF0000"/>
      <name val="宋体"/>
      <charset val="0"/>
      <scheme val="minor"/>
    </font>
    <font>
      <b/>
      <sz val="18"/>
      <color theme="3"/>
      <name val="宋体"/>
      <charset val="134"/>
      <scheme val="minor"/>
    </font>
    <font>
      <u/>
      <sz val="11"/>
      <color rgb="FF0000FF"/>
      <name val="宋体"/>
      <charset val="0"/>
      <scheme val="minor"/>
    </font>
    <font>
      <sz val="11"/>
      <color rgb="FFFA7D00"/>
      <name val="宋体"/>
      <charset val="0"/>
      <scheme val="minor"/>
    </font>
    <font>
      <b/>
      <sz val="11"/>
      <color rgb="FFFFFFFF"/>
      <name val="宋体"/>
      <charset val="0"/>
      <scheme val="minor"/>
    </font>
    <font>
      <sz val="11"/>
      <color rgb="FF9C6500"/>
      <name val="宋体"/>
      <charset val="0"/>
      <scheme val="minor"/>
    </font>
    <font>
      <b/>
      <sz val="11"/>
      <color rgb="FFFA7D00"/>
      <name val="宋体"/>
      <charset val="0"/>
      <scheme val="minor"/>
    </font>
    <font>
      <vertAlign val="superscript"/>
      <sz val="11"/>
      <color theme="1"/>
      <name val="宋体"/>
      <charset val="134"/>
      <scheme val="minor"/>
    </font>
  </fonts>
  <fills count="34">
    <fill>
      <patternFill patternType="none"/>
    </fill>
    <fill>
      <patternFill patternType="gray125"/>
    </fill>
    <fill>
      <patternFill patternType="solid">
        <fgColor rgb="FF92D050"/>
        <bgColor indexed="64"/>
      </patternFill>
    </fill>
    <fill>
      <patternFill patternType="solid">
        <fgColor theme="8" tint="0.599993896298105"/>
        <bgColor indexed="64"/>
      </patternFill>
    </fill>
    <fill>
      <patternFill patternType="solid">
        <fgColor theme="7"/>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rgb="FFF2F2F2"/>
        <bgColor indexed="64"/>
      </patternFill>
    </fill>
    <fill>
      <patternFill patternType="solid">
        <fgColor theme="5"/>
        <bgColor indexed="64"/>
      </patternFill>
    </fill>
    <fill>
      <patternFill patternType="solid">
        <fgColor rgb="FFFFCC99"/>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rgb="FFFFFFCC"/>
        <bgColor indexed="64"/>
      </patternFill>
    </fill>
    <fill>
      <patternFill patternType="solid">
        <fgColor rgb="FFFFC7CE"/>
        <bgColor indexed="64"/>
      </patternFill>
    </fill>
    <fill>
      <patternFill patternType="solid">
        <fgColor rgb="FFC6EFCE"/>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6" tint="0.799981688894314"/>
        <bgColor indexed="64"/>
      </patternFill>
    </fill>
    <fill>
      <patternFill patternType="solid">
        <fgColor theme="9"/>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rgb="FFA5A5A5"/>
        <bgColor indexed="64"/>
      </patternFill>
    </fill>
    <fill>
      <patternFill patternType="solid">
        <fgColor theme="5" tint="0.399975585192419"/>
        <bgColor indexed="64"/>
      </patternFill>
    </fill>
    <fill>
      <patternFill patternType="solid">
        <fgColor theme="4"/>
        <bgColor indexed="64"/>
      </patternFill>
    </fill>
    <fill>
      <patternFill patternType="solid">
        <fgColor rgb="FFFFEB9C"/>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bgColor indexed="64"/>
      </patternFill>
    </fill>
    <fill>
      <patternFill patternType="solid">
        <fgColor theme="8"/>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23" fillId="18" borderId="0" applyNumberFormat="0" applyBorder="0" applyAlignment="0" applyProtection="0">
      <alignment vertical="center"/>
    </xf>
    <xf numFmtId="0" fontId="27" fillId="9" borderId="1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5" borderId="0" applyNumberFormat="0" applyBorder="0" applyAlignment="0" applyProtection="0">
      <alignment vertical="center"/>
    </xf>
    <xf numFmtId="0" fontId="28" fillId="14" borderId="0" applyNumberFormat="0" applyBorder="0" applyAlignment="0" applyProtection="0">
      <alignment vertical="center"/>
    </xf>
    <xf numFmtId="43" fontId="0" fillId="0" borderId="0" applyFont="0" applyFill="0" applyBorder="0" applyAlignment="0" applyProtection="0">
      <alignment vertical="center"/>
    </xf>
    <xf numFmtId="0" fontId="24" fillId="21" borderId="0" applyNumberFormat="0" applyBorder="0" applyAlignment="0" applyProtection="0">
      <alignment vertical="center"/>
    </xf>
    <xf numFmtId="0" fontId="37" fillId="0" borderId="0" applyNumberFormat="0" applyFill="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0" fillId="13" borderId="17" applyNumberFormat="0" applyFont="0" applyAlignment="0" applyProtection="0">
      <alignment vertical="center"/>
    </xf>
    <xf numFmtId="0" fontId="24" fillId="23" borderId="0" applyNumberFormat="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26" fillId="0" borderId="15" applyNumberFormat="0" applyFill="0" applyAlignment="0" applyProtection="0">
      <alignment vertical="center"/>
    </xf>
    <xf numFmtId="0" fontId="31" fillId="0" borderId="15" applyNumberFormat="0" applyFill="0" applyAlignment="0" applyProtection="0">
      <alignment vertical="center"/>
    </xf>
    <xf numFmtId="0" fontId="24" fillId="16" borderId="0" applyNumberFormat="0" applyBorder="0" applyAlignment="0" applyProtection="0">
      <alignment vertical="center"/>
    </xf>
    <xf numFmtId="0" fontId="33" fillId="0" borderId="19" applyNumberFormat="0" applyFill="0" applyAlignment="0" applyProtection="0">
      <alignment vertical="center"/>
    </xf>
    <xf numFmtId="0" fontId="24" fillId="20" borderId="0" applyNumberFormat="0" applyBorder="0" applyAlignment="0" applyProtection="0">
      <alignment vertical="center"/>
    </xf>
    <xf numFmtId="0" fontId="25" fillId="7" borderId="14" applyNumberFormat="0" applyAlignment="0" applyProtection="0">
      <alignment vertical="center"/>
    </xf>
    <xf numFmtId="0" fontId="41" fillId="7" borderId="16" applyNumberFormat="0" applyAlignment="0" applyProtection="0">
      <alignment vertical="center"/>
    </xf>
    <xf numFmtId="0" fontId="39" fillId="22" borderId="21" applyNumberFormat="0" applyAlignment="0" applyProtection="0">
      <alignment vertical="center"/>
    </xf>
    <xf numFmtId="0" fontId="23" fillId="28" borderId="0" applyNumberFormat="0" applyBorder="0" applyAlignment="0" applyProtection="0">
      <alignment vertical="center"/>
    </xf>
    <xf numFmtId="0" fontId="24" fillId="8" borderId="0" applyNumberFormat="0" applyBorder="0" applyAlignment="0" applyProtection="0">
      <alignment vertical="center"/>
    </xf>
    <xf numFmtId="0" fontId="38" fillId="0" borderId="20" applyNumberFormat="0" applyFill="0" applyAlignment="0" applyProtection="0">
      <alignment vertical="center"/>
    </xf>
    <xf numFmtId="0" fontId="30" fillId="0" borderId="18" applyNumberFormat="0" applyFill="0" applyAlignment="0" applyProtection="0">
      <alignment vertical="center"/>
    </xf>
    <xf numFmtId="0" fontId="29" fillId="15" borderId="0" applyNumberFormat="0" applyBorder="0" applyAlignment="0" applyProtection="0">
      <alignment vertical="center"/>
    </xf>
    <xf numFmtId="0" fontId="40" fillId="25" borderId="0" applyNumberFormat="0" applyBorder="0" applyAlignment="0" applyProtection="0">
      <alignment vertical="center"/>
    </xf>
    <xf numFmtId="0" fontId="23" fillId="29" borderId="0" applyNumberFormat="0" applyBorder="0" applyAlignment="0" applyProtection="0">
      <alignment vertical="center"/>
    </xf>
    <xf numFmtId="0" fontId="24" fillId="24" borderId="0" applyNumberFormat="0" applyBorder="0" applyAlignment="0" applyProtection="0">
      <alignment vertical="center"/>
    </xf>
    <xf numFmtId="0" fontId="23" fillId="11" borderId="0" applyNumberFormat="0" applyBorder="0" applyAlignment="0" applyProtection="0">
      <alignment vertical="center"/>
    </xf>
    <xf numFmtId="0" fontId="23" fillId="10" borderId="0" applyNumberFormat="0" applyBorder="0" applyAlignment="0" applyProtection="0">
      <alignment vertical="center"/>
    </xf>
    <xf numFmtId="0" fontId="23" fillId="6" borderId="0" applyNumberFormat="0" applyBorder="0" applyAlignment="0" applyProtection="0">
      <alignment vertical="center"/>
    </xf>
    <xf numFmtId="0" fontId="23" fillId="12" borderId="0" applyNumberFormat="0" applyBorder="0" applyAlignment="0" applyProtection="0">
      <alignment vertical="center"/>
    </xf>
    <xf numFmtId="0" fontId="24" fillId="30" borderId="0" applyNumberFormat="0" applyBorder="0" applyAlignment="0" applyProtection="0">
      <alignment vertical="center"/>
    </xf>
    <xf numFmtId="0" fontId="24" fillId="4" borderId="0" applyNumberFormat="0" applyBorder="0" applyAlignment="0" applyProtection="0">
      <alignment vertical="center"/>
    </xf>
    <xf numFmtId="0" fontId="23" fillId="27" borderId="0" applyNumberFormat="0" applyBorder="0" applyAlignment="0" applyProtection="0">
      <alignment vertical="center"/>
    </xf>
    <xf numFmtId="0" fontId="23" fillId="26" borderId="0" applyNumberFormat="0" applyBorder="0" applyAlignment="0" applyProtection="0">
      <alignment vertical="center"/>
    </xf>
    <xf numFmtId="0" fontId="24" fillId="31" borderId="0" applyNumberFormat="0" applyBorder="0" applyAlignment="0" applyProtection="0">
      <alignment vertical="center"/>
    </xf>
    <xf numFmtId="0" fontId="23" fillId="3" borderId="0" applyNumberFormat="0" applyBorder="0" applyAlignment="0" applyProtection="0">
      <alignment vertical="center"/>
    </xf>
    <xf numFmtId="0" fontId="24" fillId="17" borderId="0" applyNumberFormat="0" applyBorder="0" applyAlignment="0" applyProtection="0">
      <alignment vertical="center"/>
    </xf>
    <xf numFmtId="0" fontId="24" fillId="19" borderId="0" applyNumberFormat="0" applyBorder="0" applyAlignment="0" applyProtection="0">
      <alignment vertical="center"/>
    </xf>
    <xf numFmtId="0" fontId="23" fillId="32" borderId="0" applyNumberFormat="0" applyBorder="0" applyAlignment="0" applyProtection="0">
      <alignment vertical="center"/>
    </xf>
    <xf numFmtId="0" fontId="24" fillId="33" borderId="0" applyNumberFormat="0" applyBorder="0" applyAlignment="0" applyProtection="0">
      <alignment vertical="center"/>
    </xf>
  </cellStyleXfs>
  <cellXfs count="148">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0" xfId="0" applyAlignment="1">
      <alignment horizontal="right" vertical="center"/>
    </xf>
    <xf numFmtId="0" fontId="1" fillId="0" borderId="0" xfId="0" applyFont="1" applyAlignment="1">
      <alignment horizontal="left" vertical="center" wrapText="1"/>
    </xf>
    <xf numFmtId="0" fontId="2" fillId="0" borderId="0" xfId="0" applyFont="1" applyAlignment="1">
      <alignment horizontal="left" vertical="center" wrapText="1"/>
    </xf>
    <xf numFmtId="0" fontId="3" fillId="0" borderId="0" xfId="0" applyFont="1" applyBorder="1" applyAlignment="1">
      <alignment horizontal="center" vertical="center"/>
    </xf>
    <xf numFmtId="0" fontId="3" fillId="0" borderId="0" xfId="0" applyFont="1" applyAlignment="1">
      <alignment horizontal="center" vertical="center"/>
    </xf>
    <xf numFmtId="0" fontId="0" fillId="0" borderId="5" xfId="0" applyBorder="1" applyAlignment="1">
      <alignment horizontal="center" vertical="center"/>
    </xf>
    <xf numFmtId="0" fontId="0" fillId="0" borderId="5" xfId="0" applyBorder="1" applyAlignment="1">
      <alignment horizontal="left" vertical="center" wrapText="1"/>
    </xf>
    <xf numFmtId="0" fontId="0" fillId="0" borderId="5" xfId="0" applyBorder="1" applyAlignment="1">
      <alignment horizontal="left" vertical="center"/>
    </xf>
    <xf numFmtId="0" fontId="0" fillId="0" borderId="5" xfId="0" applyFill="1" applyBorder="1" applyAlignment="1">
      <alignment horizontal="left" vertical="center" wrapText="1"/>
    </xf>
    <xf numFmtId="0" fontId="0" fillId="0" borderId="5" xfId="0" applyFill="1" applyBorder="1" applyAlignment="1">
      <alignment horizontal="center" vertical="center"/>
    </xf>
    <xf numFmtId="177" fontId="0" fillId="0" borderId="5" xfId="0" applyNumberFormat="1" applyFill="1" applyBorder="1" applyAlignment="1">
      <alignment horizontal="center" vertical="center"/>
    </xf>
    <xf numFmtId="0" fontId="0" fillId="0" borderId="5" xfId="0" applyFill="1" applyBorder="1" applyAlignment="1">
      <alignment horizontal="left" vertical="center"/>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4" xfId="0" applyFill="1" applyBorder="1" applyAlignment="1">
      <alignment horizontal="left" vertical="center"/>
    </xf>
    <xf numFmtId="0" fontId="0" fillId="0" borderId="5" xfId="0" applyFont="1" applyBorder="1" applyAlignment="1">
      <alignment horizontal="center" vertical="center"/>
    </xf>
    <xf numFmtId="0" fontId="4" fillId="0" borderId="5" xfId="0" applyFont="1" applyBorder="1" applyAlignment="1">
      <alignment horizontal="center" vertical="center" wrapText="1"/>
    </xf>
    <xf numFmtId="0" fontId="0" fillId="0" borderId="5" xfId="0" applyBorder="1" applyAlignment="1">
      <alignment horizontal="center" vertical="center" wrapText="1"/>
    </xf>
    <xf numFmtId="0" fontId="0" fillId="0" borderId="5" xfId="11" applyNumberFormat="1" applyBorder="1" applyAlignment="1">
      <alignment horizontal="center" vertical="center"/>
    </xf>
    <xf numFmtId="176" fontId="0" fillId="0" borderId="5" xfId="11" applyNumberFormat="1" applyBorder="1" applyAlignment="1">
      <alignment horizontal="center" vertical="center"/>
    </xf>
    <xf numFmtId="176" fontId="0" fillId="0" borderId="5" xfId="0" applyNumberFormat="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78" fontId="0" fillId="0" borderId="5" xfId="0" applyNumberFormat="1" applyBorder="1" applyAlignment="1">
      <alignment horizontal="center" vertical="center"/>
    </xf>
    <xf numFmtId="179" fontId="0" fillId="0" borderId="5" xfId="11" applyNumberFormat="1" applyBorder="1" applyAlignment="1">
      <alignment horizontal="center" vertical="center"/>
    </xf>
    <xf numFmtId="0" fontId="0" fillId="0" borderId="2" xfId="0" applyFont="1" applyBorder="1" applyAlignment="1">
      <alignment horizontal="left" vertical="center" wrapText="1"/>
    </xf>
    <xf numFmtId="0" fontId="0" fillId="0" borderId="3" xfId="0" applyFont="1" applyBorder="1" applyAlignment="1">
      <alignment horizontal="left" vertical="center" wrapText="1"/>
    </xf>
    <xf numFmtId="0" fontId="0" fillId="0" borderId="2" xfId="0" applyBorder="1" applyAlignment="1">
      <alignment horizontal="left" vertical="center"/>
    </xf>
    <xf numFmtId="0" fontId="2"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0" xfId="0" applyFont="1" applyFill="1" applyAlignment="1">
      <alignment horizontal="right" vertical="center" wrapText="1"/>
    </xf>
    <xf numFmtId="0" fontId="2" fillId="0" borderId="0" xfId="0" applyFont="1" applyFill="1" applyAlignment="1">
      <alignment horizontal="left" vertical="center" wrapText="1"/>
    </xf>
    <xf numFmtId="0" fontId="2" fillId="0" borderId="0" xfId="0" applyFont="1" applyFill="1" applyAlignment="1">
      <alignment horizontal="center" vertical="center" wrapText="1"/>
    </xf>
    <xf numFmtId="0" fontId="0" fillId="0" borderId="5" xfId="0" applyBorder="1">
      <alignment vertical="center"/>
    </xf>
    <xf numFmtId="0" fontId="0" fillId="0" borderId="0" xfId="0" applyAlignment="1">
      <alignment horizontal="center" vertical="center"/>
    </xf>
    <xf numFmtId="180" fontId="0" fillId="0" borderId="0" xfId="0" applyNumberFormat="1" applyAlignment="1">
      <alignment horizontal="center" vertical="center"/>
    </xf>
    <xf numFmtId="0" fontId="0" fillId="0" borderId="0" xfId="0" applyAlignment="1">
      <alignment horizontal="left" vertical="center"/>
    </xf>
    <xf numFmtId="0" fontId="4" fillId="0" borderId="0" xfId="0" applyFont="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4" xfId="0" applyFont="1" applyBorder="1" applyAlignment="1">
      <alignment horizontal="left" vertical="center" wrapText="1"/>
    </xf>
    <xf numFmtId="0" fontId="0" fillId="0" borderId="0" xfId="0" applyAlignment="1">
      <alignment horizontal="left" vertical="center" wrapText="1"/>
    </xf>
    <xf numFmtId="0" fontId="2" fillId="0" borderId="4" xfId="0" applyFont="1" applyBorder="1" applyAlignment="1">
      <alignment horizontal="left" vertical="center" wrapText="1"/>
    </xf>
    <xf numFmtId="0" fontId="2" fillId="0" borderId="0" xfId="0" applyFont="1">
      <alignment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horizontal="center" vertical="center" wrapText="1"/>
    </xf>
    <xf numFmtId="0" fontId="0" fillId="2" borderId="5" xfId="0" applyFill="1" applyBorder="1" applyAlignment="1">
      <alignment horizontal="center" vertical="center" wrapText="1"/>
    </xf>
    <xf numFmtId="0" fontId="0" fillId="0" borderId="2" xfId="0" applyBorder="1" applyAlignment="1">
      <alignment horizontal="right" vertical="center" wrapText="1"/>
    </xf>
    <xf numFmtId="0" fontId="0" fillId="0" borderId="4" xfId="0" applyBorder="1" applyAlignment="1">
      <alignment horizontal="right" vertical="center" wrapText="1"/>
    </xf>
    <xf numFmtId="0" fontId="0" fillId="2" borderId="2" xfId="0" applyFill="1" applyBorder="1" applyAlignment="1">
      <alignment horizontal="center" vertical="center" wrapText="1"/>
    </xf>
    <xf numFmtId="0" fontId="0" fillId="2" borderId="4" xfId="0" applyFill="1" applyBorder="1" applyAlignment="1">
      <alignment horizontal="center" vertical="center" wrapText="1"/>
    </xf>
    <xf numFmtId="0" fontId="0" fillId="0" borderId="5" xfId="0" applyBorder="1" applyAlignment="1">
      <alignment vertical="center" wrapText="1"/>
    </xf>
    <xf numFmtId="0" fontId="7" fillId="0" borderId="5" xfId="0" applyFont="1" applyFill="1" applyBorder="1" applyAlignment="1">
      <alignment horizontal="center" vertical="center" wrapText="1"/>
    </xf>
    <xf numFmtId="0" fontId="7" fillId="0" borderId="2" xfId="0" applyFont="1" applyFill="1" applyBorder="1" applyAlignment="1">
      <alignment horizontal="center" vertical="center" wrapText="1"/>
    </xf>
    <xf numFmtId="0" fontId="7" fillId="0" borderId="4" xfId="0" applyFont="1" applyFill="1" applyBorder="1" applyAlignment="1">
      <alignment horizontal="center" vertical="center" wrapText="1"/>
    </xf>
    <xf numFmtId="0" fontId="7" fillId="0" borderId="2" xfId="0" applyFont="1" applyFill="1" applyBorder="1" applyAlignment="1">
      <alignment horizontal="left" vertical="center" wrapText="1"/>
    </xf>
    <xf numFmtId="0" fontId="0" fillId="0" borderId="5" xfId="0" applyFont="1" applyBorder="1" applyAlignment="1">
      <alignment horizontal="center" vertical="center" wrapText="1"/>
    </xf>
    <xf numFmtId="0" fontId="8" fillId="0" borderId="2" xfId="0" applyFont="1" applyBorder="1" applyAlignment="1">
      <alignment horizontal="left" vertical="center" wrapText="1"/>
    </xf>
    <xf numFmtId="0" fontId="8" fillId="0" borderId="3" xfId="0" applyFont="1" applyBorder="1" applyAlignment="1">
      <alignment horizontal="left" vertical="center" wrapText="1"/>
    </xf>
    <xf numFmtId="0" fontId="9" fillId="0" borderId="5" xfId="0" applyFont="1" applyBorder="1" applyAlignment="1">
      <alignment horizontal="center" vertical="center" wrapText="1"/>
    </xf>
    <xf numFmtId="0" fontId="0" fillId="0" borderId="5" xfId="0" applyFill="1" applyBorder="1" applyAlignment="1">
      <alignment horizontal="center" vertical="center" wrapText="1"/>
    </xf>
    <xf numFmtId="0" fontId="8" fillId="0" borderId="5" xfId="0" applyFont="1" applyBorder="1" applyAlignment="1">
      <alignment horizontal="center" vertical="center" wrapText="1"/>
    </xf>
    <xf numFmtId="0" fontId="8" fillId="0" borderId="5" xfId="0" applyFont="1" applyBorder="1" applyAlignment="1">
      <alignment horizontal="left" vertical="center" wrapText="1"/>
    </xf>
    <xf numFmtId="0" fontId="0" fillId="0" borderId="10" xfId="0"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11" xfId="0" applyBorder="1" applyAlignment="1">
      <alignment horizontal="center" vertical="center"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xf>
    <xf numFmtId="0" fontId="8" fillId="0" borderId="5" xfId="0" applyFont="1" applyFill="1" applyBorder="1" applyAlignment="1">
      <alignment horizontal="center" vertical="center"/>
    </xf>
    <xf numFmtId="0" fontId="8" fillId="2" borderId="5" xfId="0" applyFont="1" applyFill="1" applyBorder="1" applyAlignment="1">
      <alignment horizontal="center" vertical="center"/>
    </xf>
    <xf numFmtId="0" fontId="0" fillId="0" borderId="12" xfId="0" applyBorder="1" applyAlignment="1">
      <alignment horizontal="center" vertical="center" wrapText="1"/>
    </xf>
    <xf numFmtId="0" fontId="8" fillId="0" borderId="2" xfId="0" applyFont="1" applyBorder="1" applyAlignment="1">
      <alignment horizontal="left" vertical="center"/>
    </xf>
    <xf numFmtId="0" fontId="8" fillId="0" borderId="3" xfId="0" applyFont="1" applyBorder="1" applyAlignment="1">
      <alignment horizontal="left" vertical="center"/>
    </xf>
    <xf numFmtId="0" fontId="7" fillId="0" borderId="5" xfId="0" applyFont="1" applyBorder="1" applyAlignment="1">
      <alignment horizontal="left" vertical="center" wrapText="1"/>
    </xf>
    <xf numFmtId="0" fontId="0" fillId="2" borderId="13" xfId="0" applyFill="1" applyBorder="1" applyAlignment="1">
      <alignment horizontal="center" vertical="center" wrapText="1"/>
    </xf>
    <xf numFmtId="0" fontId="7" fillId="0" borderId="3" xfId="0" applyFont="1" applyFill="1" applyBorder="1" applyAlignment="1">
      <alignment horizontal="left" vertical="center" wrapText="1"/>
    </xf>
    <xf numFmtId="0" fontId="0" fillId="0" borderId="2" xfId="0" applyBorder="1" applyAlignment="1">
      <alignment horizontal="lef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3" xfId="0" applyBorder="1" applyAlignment="1">
      <alignment horizontal="center" vertical="center" wrapText="1"/>
    </xf>
    <xf numFmtId="0" fontId="10" fillId="2" borderId="2" xfId="0" applyFont="1" applyFill="1" applyBorder="1" applyAlignment="1">
      <alignment horizontal="center" vertical="center"/>
    </xf>
    <xf numFmtId="0" fontId="10" fillId="0" borderId="4" xfId="0" applyFont="1" applyFill="1" applyBorder="1" applyAlignment="1">
      <alignment vertical="center"/>
    </xf>
    <xf numFmtId="0" fontId="8" fillId="0" borderId="4" xfId="0" applyFont="1" applyBorder="1" applyAlignment="1">
      <alignment horizontal="left" vertical="center" wrapText="1"/>
    </xf>
    <xf numFmtId="14" fontId="1" fillId="2" borderId="5" xfId="0" applyNumberFormat="1" applyFont="1" applyFill="1" applyBorder="1" applyAlignment="1">
      <alignment horizontal="center" vertical="center" wrapText="1"/>
    </xf>
    <xf numFmtId="181" fontId="9" fillId="0" borderId="5" xfId="0" applyNumberFormat="1" applyFont="1" applyBorder="1" applyAlignment="1">
      <alignment horizontal="center" vertical="center" wrapText="1"/>
    </xf>
    <xf numFmtId="0" fontId="10" fillId="2" borderId="4" xfId="0" applyFont="1" applyFill="1" applyBorder="1" applyAlignment="1">
      <alignment horizontal="center" vertical="center"/>
    </xf>
    <xf numFmtId="0" fontId="9" fillId="0" borderId="0" xfId="0" applyFont="1" applyAlignment="1">
      <alignment horizontal="center" vertical="center" wrapText="1"/>
    </xf>
    <xf numFmtId="0" fontId="10" fillId="0" borderId="2" xfId="0" applyFont="1" applyFill="1" applyBorder="1" applyAlignment="1">
      <alignment horizontal="center" vertical="center"/>
    </xf>
    <xf numFmtId="0" fontId="10" fillId="0" borderId="4" xfId="0" applyFont="1" applyFill="1" applyBorder="1" applyAlignment="1">
      <alignment horizontal="center" vertical="center"/>
    </xf>
    <xf numFmtId="182" fontId="0" fillId="0" borderId="5" xfId="0" applyNumberFormat="1" applyBorder="1" applyAlignment="1">
      <alignment horizontal="center" vertical="center" wrapText="1"/>
    </xf>
    <xf numFmtId="20" fontId="0" fillId="2" borderId="5" xfId="0" applyNumberFormat="1" applyFill="1" applyBorder="1" applyAlignment="1">
      <alignment horizontal="center" vertical="center" wrapText="1"/>
    </xf>
    <xf numFmtId="176" fontId="0" fillId="0" borderId="5" xfId="0" applyNumberFormat="1" applyBorder="1" applyAlignment="1">
      <alignment horizontal="center" vertical="center" wrapText="1"/>
    </xf>
    <xf numFmtId="176" fontId="0" fillId="0" borderId="0" xfId="0" applyNumberFormat="1" applyAlignment="1">
      <alignment horizontal="center" vertical="center" wrapText="1"/>
    </xf>
    <xf numFmtId="183" fontId="0" fillId="0" borderId="5" xfId="0" applyNumberFormat="1" applyBorder="1" applyAlignment="1">
      <alignment horizontal="center" vertical="center" wrapText="1"/>
    </xf>
    <xf numFmtId="0" fontId="0" fillId="0" borderId="2"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176" fontId="8" fillId="0" borderId="5" xfId="0" applyNumberFormat="1" applyFont="1" applyBorder="1" applyAlignment="1">
      <alignment horizontal="center" vertical="center"/>
    </xf>
    <xf numFmtId="179" fontId="8" fillId="0" borderId="5" xfId="0" applyNumberFormat="1" applyFont="1" applyBorder="1" applyAlignment="1">
      <alignment horizontal="center" vertical="center"/>
    </xf>
    <xf numFmtId="0" fontId="8" fillId="0" borderId="4" xfId="0" applyFont="1" applyBorder="1" applyAlignment="1">
      <alignment horizontal="left" vertical="center"/>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2" fillId="0" borderId="0" xfId="0" applyFont="1" applyBorder="1" applyAlignment="1">
      <alignment horizontal="right" vertical="center" wrapText="1"/>
    </xf>
    <xf numFmtId="0" fontId="13" fillId="2" borderId="0" xfId="0" applyFont="1" applyFill="1" applyBorder="1" applyAlignment="1">
      <alignment horizontal="center" vertical="center"/>
    </xf>
    <xf numFmtId="0" fontId="13" fillId="0" borderId="0" xfId="0" applyFont="1" applyFill="1" applyBorder="1" applyAlignment="1">
      <alignment vertical="center"/>
    </xf>
    <xf numFmtId="0" fontId="14" fillId="0" borderId="5" xfId="0" applyFont="1" applyBorder="1" applyAlignment="1">
      <alignment horizontal="center" vertical="center" wrapText="1"/>
    </xf>
    <xf numFmtId="0" fontId="15" fillId="0" borderId="5" xfId="0" applyFont="1" applyBorder="1" applyAlignment="1">
      <alignment horizontal="center" vertical="center" wrapText="1"/>
    </xf>
    <xf numFmtId="0" fontId="16" fillId="0" borderId="0" xfId="0" applyFont="1" applyAlignment="1">
      <alignment horizontal="center" vertical="center" wrapText="1"/>
    </xf>
    <xf numFmtId="14" fontId="16" fillId="0" borderId="0" xfId="0" applyNumberFormat="1" applyFont="1" applyAlignment="1">
      <alignment horizontal="center" vertical="center" wrapText="1"/>
    </xf>
    <xf numFmtId="49" fontId="0" fillId="0" borderId="5" xfId="0" applyNumberFormat="1" applyBorder="1" applyAlignment="1">
      <alignment horizontal="center" vertical="center"/>
    </xf>
    <xf numFmtId="0" fontId="0" fillId="0" borderId="5" xfId="0" applyNumberFormat="1" applyBorder="1" applyAlignment="1">
      <alignment horizontal="center" vertical="center"/>
    </xf>
    <xf numFmtId="0" fontId="0" fillId="0" borderId="0" xfId="0" applyAlignment="1">
      <alignment vertical="center" wrapText="1"/>
    </xf>
    <xf numFmtId="0" fontId="0" fillId="0" borderId="0" xfId="0" applyAlignment="1">
      <alignment vertical="center"/>
    </xf>
    <xf numFmtId="182" fontId="0" fillId="0" borderId="0" xfId="0" applyNumberFormat="1" applyAlignment="1">
      <alignment horizontal="center" vertical="center" wrapText="1"/>
    </xf>
    <xf numFmtId="20" fontId="0" fillId="0" borderId="0" xfId="0" applyNumberFormat="1" applyAlignment="1">
      <alignment horizontal="center" vertical="center" wrapText="1"/>
    </xf>
    <xf numFmtId="0" fontId="16" fillId="0" borderId="5" xfId="0" applyNumberFormat="1" applyFont="1" applyBorder="1" applyAlignment="1">
      <alignment horizontal="center" vertical="center" wrapText="1"/>
    </xf>
    <xf numFmtId="0" fontId="17" fillId="0" borderId="5" xfId="0" applyNumberFormat="1" applyFont="1" applyBorder="1" applyAlignment="1">
      <alignment horizontal="center" vertical="center" wrapText="1"/>
    </xf>
    <xf numFmtId="10" fontId="0" fillId="0" borderId="0" xfId="0" applyNumberFormat="1" applyAlignment="1">
      <alignment horizontal="center" vertical="center" wrapText="1"/>
    </xf>
    <xf numFmtId="49" fontId="15" fillId="0" borderId="5" xfId="0" applyNumberFormat="1" applyFont="1" applyBorder="1" applyAlignment="1">
      <alignment horizontal="center" vertical="center" wrapText="1"/>
    </xf>
    <xf numFmtId="0" fontId="0" fillId="0" borderId="0" xfId="0" applyBorder="1" applyAlignment="1">
      <alignment vertical="center"/>
    </xf>
    <xf numFmtId="49" fontId="0" fillId="0" borderId="0" xfId="0" applyNumberFormat="1" applyAlignment="1">
      <alignment horizontal="center" vertical="center"/>
    </xf>
    <xf numFmtId="0" fontId="0" fillId="0" borderId="0" xfId="0" applyBorder="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horizontal="center" vertical="center" wrapText="1"/>
    </xf>
    <xf numFmtId="0" fontId="19" fillId="0" borderId="0" xfId="0" applyFont="1" applyBorder="1" applyAlignment="1">
      <alignment horizontal="center" vertical="center"/>
    </xf>
    <xf numFmtId="0" fontId="20" fillId="0" borderId="0" xfId="0" applyFont="1" applyFill="1" applyBorder="1" applyAlignment="1">
      <alignment horizontal="center" vertical="center" wrapText="1"/>
    </xf>
    <xf numFmtId="0" fontId="0" fillId="0" borderId="0" xfId="0" applyFont="1" applyAlignment="1">
      <alignment horizontal="center" vertical="center" wrapText="1"/>
    </xf>
    <xf numFmtId="0" fontId="8" fillId="0" borderId="0" xfId="0" applyFont="1" applyFill="1" applyBorder="1" applyAlignment="1">
      <alignment horizontal="center" vertical="center" wrapText="1"/>
    </xf>
    <xf numFmtId="0" fontId="19" fillId="0" borderId="0" xfId="0" applyFont="1" applyFill="1" applyAlignment="1">
      <alignment horizontal="center" vertical="center"/>
    </xf>
    <xf numFmtId="14" fontId="0" fillId="0" borderId="0" xfId="0" applyNumberFormat="1" applyAlignment="1">
      <alignment horizontal="center" vertical="center"/>
    </xf>
    <xf numFmtId="0" fontId="8" fillId="0" borderId="0" xfId="0" applyFont="1" applyAlignment="1">
      <alignment horizontal="justify" vertical="center"/>
    </xf>
    <xf numFmtId="0" fontId="21" fillId="0" borderId="5" xfId="0" applyFont="1" applyBorder="1" applyAlignment="1">
      <alignment horizontal="center" vertical="center"/>
    </xf>
    <xf numFmtId="0" fontId="22" fillId="0" borderId="0" xfId="0" applyFont="1" applyAlignment="1">
      <alignment horizontal="center" vertical="center"/>
    </xf>
    <xf numFmtId="0" fontId="22" fillId="0" borderId="0" xfId="0" applyFont="1" applyAlignment="1">
      <alignment horizontal="center" vertical="center" wrapText="1"/>
    </xf>
    <xf numFmtId="0" fontId="19" fillId="0" borderId="5" xfId="0" applyFont="1" applyFill="1" applyBorder="1" applyAlignment="1">
      <alignment horizontal="center" vertical="center" wrapText="1"/>
    </xf>
    <xf numFmtId="0" fontId="19" fillId="0" borderId="5"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ill>
        <patternFill patternType="solid">
          <bgColor rgb="FFFF0000"/>
        </patternFill>
      </fill>
    </dxf>
    <dxf>
      <fill>
        <patternFill patternType="solid">
          <bgColor rgb="FF92D050"/>
        </patternFill>
      </fill>
    </dxf>
    <dxf>
      <fill>
        <patternFill patternType="solid">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4.xml"/><Relationship Id="rId8" Type="http://schemas.openxmlformats.org/officeDocument/2006/relationships/externalLink" Target="externalLinks/externalLink3.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8BD21D20-EC42-11CE-9E0D-00AA006002F3}" r:id="rId1" ax:persistence="persistStreamInit"/>
</file>

<file path=xl/activeX/activeX9.xml><?xml version="1.0" encoding="utf-8"?>
<ax:ocx xmlns:ax="http://schemas.microsoft.com/office/2006/activeX" xmlns:r="http://schemas.openxmlformats.org/officeDocument/2006/relationships" ax:classid="{8BD21D10-EC42-11CE-9E0D-00AA006002F3}" r:id="rId1" ax:persistence="persistStreamInit"/>
</file>

<file path=xl/drawings/_rels/drawing2.xml.rels><?xml version="1.0" encoding="UTF-8" standalone="yes"?>
<Relationships xmlns="http://schemas.openxmlformats.org/package/2006/relationships"><Relationship Id="rId4" Type="http://schemas.openxmlformats.org/officeDocument/2006/relationships/image" Target="../media/image11.png"/><Relationship Id="rId3" Type="http://schemas.openxmlformats.org/officeDocument/2006/relationships/image" Target="../media/image10.jpeg"/><Relationship Id="rId2" Type="http://schemas.openxmlformats.org/officeDocument/2006/relationships/image" Target="../media/image9.jpeg"/><Relationship Id="rId1" Type="http://schemas.openxmlformats.org/officeDocument/2006/relationships/image" Target="../media/image8.jpeg"/></Relationships>
</file>

<file path=xl/drawings/_rels/vmlDrawing1.vml.rels><?xml version="1.0" encoding="UTF-8" standalone="yes"?>
<Relationships xmlns="http://schemas.openxmlformats.org/package/2006/relationships"><Relationship Id="rId7" Type="http://schemas.openxmlformats.org/officeDocument/2006/relationships/image" Target="../media/image7.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3</xdr:col>
      <xdr:colOff>9525</xdr:colOff>
      <xdr:row>15</xdr:row>
      <xdr:rowOff>28575</xdr:rowOff>
    </xdr:from>
    <xdr:to>
      <xdr:col>14</xdr:col>
      <xdr:colOff>466725</xdr:colOff>
      <xdr:row>16</xdr:row>
      <xdr:rowOff>266700</xdr:rowOff>
    </xdr:to>
    <xdr:cxnSp>
      <xdr:nvCxnSpPr>
        <xdr:cNvPr id="2" name="直接连接符 1"/>
        <xdr:cNvCxnSpPr/>
      </xdr:nvCxnSpPr>
      <xdr:spPr>
        <a:xfrm flipV="1">
          <a:off x="1619250" y="4660900"/>
          <a:ext cx="6115050" cy="555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28575</xdr:colOff>
      <xdr:row>44</xdr:row>
      <xdr:rowOff>28575</xdr:rowOff>
    </xdr:from>
    <xdr:to>
      <xdr:col>14</xdr:col>
      <xdr:colOff>476250</xdr:colOff>
      <xdr:row>46</xdr:row>
      <xdr:rowOff>0</xdr:rowOff>
    </xdr:to>
    <xdr:cxnSp>
      <xdr:nvCxnSpPr>
        <xdr:cNvPr id="3" name="直接连接符 2"/>
        <xdr:cNvCxnSpPr/>
      </xdr:nvCxnSpPr>
      <xdr:spPr>
        <a:xfrm flipV="1">
          <a:off x="1638300" y="13550900"/>
          <a:ext cx="6105525" cy="809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15</xdr:col>
          <xdr:colOff>66675</xdr:colOff>
          <xdr:row>10</xdr:row>
          <xdr:rowOff>38100</xdr:rowOff>
        </xdr:from>
        <xdr:to>
          <xdr:col>15</xdr:col>
          <xdr:colOff>514350</xdr:colOff>
          <xdr:row>11</xdr:row>
          <xdr:rowOff>57150</xdr:rowOff>
        </xdr:to>
        <xdr:sp>
          <xdr:nvSpPr>
            <xdr:cNvPr id="9217" name="CommandButton1" hidden="1">
              <a:extLst>
                <a:ext uri="{63B3BB69-23CF-44E3-9099-C40C66FF867C}">
                  <a14:compatExt spid="_x0000_s9217"/>
                </a:ext>
              </a:extLst>
            </xdr:cNvPr>
            <xdr:cNvSpPr/>
          </xdr:nvSpPr>
          <xdr:spPr>
            <a:xfrm>
              <a:off x="7915275" y="2981325"/>
              <a:ext cx="447675" cy="438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19</xdr:row>
          <xdr:rowOff>66675</xdr:rowOff>
        </xdr:from>
        <xdr:to>
          <xdr:col>15</xdr:col>
          <xdr:colOff>542925</xdr:colOff>
          <xdr:row>20</xdr:row>
          <xdr:rowOff>307975</xdr:rowOff>
        </xdr:to>
        <xdr:sp>
          <xdr:nvSpPr>
            <xdr:cNvPr id="9218" name="CommandButton2" hidden="1">
              <a:extLst>
                <a:ext uri="{63B3BB69-23CF-44E3-9099-C40C66FF867C}">
                  <a14:compatExt spid="_x0000_s9218"/>
                </a:ext>
              </a:extLst>
            </xdr:cNvPr>
            <xdr:cNvSpPr/>
          </xdr:nvSpPr>
          <xdr:spPr>
            <a:xfrm>
              <a:off x="7934325" y="6083300"/>
              <a:ext cx="457200" cy="5588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22</xdr:row>
          <xdr:rowOff>38100</xdr:rowOff>
        </xdr:from>
        <xdr:to>
          <xdr:col>16</xdr:col>
          <xdr:colOff>18415</xdr:colOff>
          <xdr:row>23</xdr:row>
          <xdr:rowOff>257175</xdr:rowOff>
        </xdr:to>
        <xdr:sp>
          <xdr:nvSpPr>
            <xdr:cNvPr id="9219" name="CommandButton3" hidden="1">
              <a:extLst>
                <a:ext uri="{63B3BB69-23CF-44E3-9099-C40C66FF867C}">
                  <a14:compatExt spid="_x0000_s9219"/>
                </a:ext>
              </a:extLst>
            </xdr:cNvPr>
            <xdr:cNvSpPr/>
          </xdr:nvSpPr>
          <xdr:spPr>
            <a:xfrm>
              <a:off x="7886700" y="7007225"/>
              <a:ext cx="561340" cy="5365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28</xdr:row>
          <xdr:rowOff>76200</xdr:rowOff>
        </xdr:from>
        <xdr:to>
          <xdr:col>15</xdr:col>
          <xdr:colOff>544195</xdr:colOff>
          <xdr:row>29</xdr:row>
          <xdr:rowOff>209550</xdr:rowOff>
        </xdr:to>
        <xdr:sp>
          <xdr:nvSpPr>
            <xdr:cNvPr id="9220" name="CommandButton4" hidden="1">
              <a:extLst>
                <a:ext uri="{63B3BB69-23CF-44E3-9099-C40C66FF867C}">
                  <a14:compatExt spid="_x0000_s9220"/>
                </a:ext>
              </a:extLst>
            </xdr:cNvPr>
            <xdr:cNvSpPr/>
          </xdr:nvSpPr>
          <xdr:spPr>
            <a:xfrm>
              <a:off x="7858125" y="8988425"/>
              <a:ext cx="534670" cy="450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35</xdr:row>
          <xdr:rowOff>57150</xdr:rowOff>
        </xdr:from>
        <xdr:to>
          <xdr:col>15</xdr:col>
          <xdr:colOff>486410</xdr:colOff>
          <xdr:row>36</xdr:row>
          <xdr:rowOff>215900</xdr:rowOff>
        </xdr:to>
        <xdr:sp>
          <xdr:nvSpPr>
            <xdr:cNvPr id="9221" name="CommandButton5" hidden="1">
              <a:extLst>
                <a:ext uri="{63B3BB69-23CF-44E3-9099-C40C66FF867C}">
                  <a14:compatExt spid="_x0000_s9221"/>
                </a:ext>
              </a:extLst>
            </xdr:cNvPr>
            <xdr:cNvSpPr/>
          </xdr:nvSpPr>
          <xdr:spPr>
            <a:xfrm>
              <a:off x="7896225" y="11064875"/>
              <a:ext cx="438785" cy="4127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39</xdr:row>
          <xdr:rowOff>76200</xdr:rowOff>
        </xdr:from>
        <xdr:to>
          <xdr:col>15</xdr:col>
          <xdr:colOff>495300</xdr:colOff>
          <xdr:row>41</xdr:row>
          <xdr:rowOff>76835</xdr:rowOff>
        </xdr:to>
        <xdr:sp>
          <xdr:nvSpPr>
            <xdr:cNvPr id="9222" name="CommandButton6" hidden="1">
              <a:extLst>
                <a:ext uri="{63B3BB69-23CF-44E3-9099-C40C66FF867C}">
                  <a14:compatExt spid="_x0000_s9222"/>
                </a:ext>
              </a:extLst>
            </xdr:cNvPr>
            <xdr:cNvSpPr/>
          </xdr:nvSpPr>
          <xdr:spPr>
            <a:xfrm>
              <a:off x="7877175" y="12226925"/>
              <a:ext cx="466725" cy="5086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xdr:row>
          <xdr:rowOff>28575</xdr:rowOff>
        </xdr:from>
        <xdr:to>
          <xdr:col>17</xdr:col>
          <xdr:colOff>428625</xdr:colOff>
          <xdr:row>3</xdr:row>
          <xdr:rowOff>256540</xdr:rowOff>
        </xdr:to>
        <xdr:sp>
          <xdr:nvSpPr>
            <xdr:cNvPr id="9223" name="CommandButton7" hidden="1">
              <a:extLst>
                <a:ext uri="{63B3BB69-23CF-44E3-9099-C40C66FF867C}">
                  <a14:compatExt spid="_x0000_s9223"/>
                </a:ext>
              </a:extLst>
            </xdr:cNvPr>
            <xdr:cNvSpPr/>
          </xdr:nvSpPr>
          <xdr:spPr>
            <a:xfrm>
              <a:off x="8429625" y="552450"/>
              <a:ext cx="1447800" cy="39941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4</xdr:row>
          <xdr:rowOff>95250</xdr:rowOff>
        </xdr:from>
        <xdr:to>
          <xdr:col>20</xdr:col>
          <xdr:colOff>0</xdr:colOff>
          <xdr:row>11</xdr:row>
          <xdr:rowOff>83185</xdr:rowOff>
        </xdr:to>
        <xdr:sp>
          <xdr:nvSpPr>
            <xdr:cNvPr id="10245" name="ListBox1" hidden="1">
              <a:extLst>
                <a:ext uri="{63B3BB69-23CF-44E3-9099-C40C66FF867C}">
                  <a14:compatExt spid="_x0000_s10245"/>
                </a:ext>
              </a:extLst>
            </xdr:cNvPr>
            <xdr:cNvSpPr/>
          </xdr:nvSpPr>
          <xdr:spPr>
            <a:xfrm>
              <a:off x="8343900" y="965200"/>
              <a:ext cx="5800725" cy="17532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353060</xdr:colOff>
          <xdr:row>3</xdr:row>
          <xdr:rowOff>0</xdr:rowOff>
        </xdr:from>
        <xdr:to>
          <xdr:col>19</xdr:col>
          <xdr:colOff>637540</xdr:colOff>
          <xdr:row>4</xdr:row>
          <xdr:rowOff>161925</xdr:rowOff>
        </xdr:to>
        <xdr:sp>
          <xdr:nvSpPr>
            <xdr:cNvPr id="10246" name="TextBox1" hidden="1">
              <a:extLst>
                <a:ext uri="{63B3BB69-23CF-44E3-9099-C40C66FF867C}">
                  <a14:compatExt spid="_x0000_s10246"/>
                </a:ext>
              </a:extLst>
            </xdr:cNvPr>
            <xdr:cNvSpPr/>
          </xdr:nvSpPr>
          <xdr:spPr>
            <a:xfrm>
              <a:off x="8335010" y="755650"/>
              <a:ext cx="5761355" cy="276225"/>
            </a:xfrm>
            <a:prstGeom prst="rect">
              <a:avLst/>
            </a:prstGeom>
          </xdr:spPr>
        </xdr:sp>
        <xdr:clientData/>
      </xdr:twoCellAnchor>
    </mc:Choice>
    <mc:Fallback/>
  </mc:AlternateContent>
  <xdr:twoCellAnchor editAs="oneCell">
    <xdr:from>
      <xdr:col>1</xdr:col>
      <xdr:colOff>76200</xdr:colOff>
      <xdr:row>34</xdr:row>
      <xdr:rowOff>59055</xdr:rowOff>
    </xdr:from>
    <xdr:to>
      <xdr:col>2</xdr:col>
      <xdr:colOff>306070</xdr:colOff>
      <xdr:row>34</xdr:row>
      <xdr:rowOff>487680</xdr:rowOff>
    </xdr:to>
    <xdr:pic>
      <xdr:nvPicPr>
        <xdr:cNvPr id="2" name="图片 1" descr="熊茂"/>
        <xdr:cNvPicPr>
          <a:picLocks noChangeAspect="1"/>
        </xdr:cNvPicPr>
      </xdr:nvPicPr>
      <xdr:blipFill>
        <a:blip r:embed="rId1"/>
        <a:stretch>
          <a:fillRect/>
        </a:stretch>
      </xdr:blipFill>
      <xdr:spPr>
        <a:xfrm>
          <a:off x="857250" y="9222105"/>
          <a:ext cx="696595" cy="428625"/>
        </a:xfrm>
        <a:prstGeom prst="rect">
          <a:avLst/>
        </a:prstGeom>
      </xdr:spPr>
    </xdr:pic>
    <xdr:clientData/>
  </xdr:twoCellAnchor>
  <xdr:twoCellAnchor editAs="oneCell">
    <xdr:from>
      <xdr:col>7</xdr:col>
      <xdr:colOff>419100</xdr:colOff>
      <xdr:row>34</xdr:row>
      <xdr:rowOff>123825</xdr:rowOff>
    </xdr:from>
    <xdr:to>
      <xdr:col>8</xdr:col>
      <xdr:colOff>351790</xdr:colOff>
      <xdr:row>34</xdr:row>
      <xdr:rowOff>493395</xdr:rowOff>
    </xdr:to>
    <xdr:pic>
      <xdr:nvPicPr>
        <xdr:cNvPr id="3" name="图片 2" descr="吴雪琦"/>
        <xdr:cNvPicPr>
          <a:picLocks noChangeAspect="1"/>
        </xdr:cNvPicPr>
      </xdr:nvPicPr>
      <xdr:blipFill>
        <a:blip r:embed="rId2"/>
        <a:stretch>
          <a:fillRect/>
        </a:stretch>
      </xdr:blipFill>
      <xdr:spPr>
        <a:xfrm>
          <a:off x="5524500" y="9286875"/>
          <a:ext cx="618490" cy="369570"/>
        </a:xfrm>
        <a:prstGeom prst="rect">
          <a:avLst/>
        </a:prstGeom>
      </xdr:spPr>
    </xdr:pic>
    <xdr:clientData/>
  </xdr:twoCellAnchor>
  <xdr:twoCellAnchor editAs="oneCell">
    <xdr:from>
      <xdr:col>4</xdr:col>
      <xdr:colOff>552450</xdr:colOff>
      <xdr:row>34</xdr:row>
      <xdr:rowOff>19050</xdr:rowOff>
    </xdr:from>
    <xdr:to>
      <xdr:col>5</xdr:col>
      <xdr:colOff>575945</xdr:colOff>
      <xdr:row>34</xdr:row>
      <xdr:rowOff>508635</xdr:rowOff>
    </xdr:to>
    <xdr:pic>
      <xdr:nvPicPr>
        <xdr:cNvPr id="4" name="图片 3" descr="邓志华"/>
        <xdr:cNvPicPr>
          <a:picLocks noChangeAspect="1"/>
        </xdr:cNvPicPr>
      </xdr:nvPicPr>
      <xdr:blipFill>
        <a:blip r:embed="rId3"/>
        <a:stretch>
          <a:fillRect/>
        </a:stretch>
      </xdr:blipFill>
      <xdr:spPr>
        <a:xfrm>
          <a:off x="3181350" y="9182100"/>
          <a:ext cx="852170" cy="489585"/>
        </a:xfrm>
        <a:prstGeom prst="rect">
          <a:avLst/>
        </a:prstGeom>
      </xdr:spPr>
    </xdr:pic>
    <xdr:clientData/>
  </xdr:twoCellAnchor>
  <xdr:twoCellAnchor editAs="oneCell">
    <xdr:from>
      <xdr:col>4</xdr:col>
      <xdr:colOff>95250</xdr:colOff>
      <xdr:row>0</xdr:row>
      <xdr:rowOff>66675</xdr:rowOff>
    </xdr:from>
    <xdr:to>
      <xdr:col>4</xdr:col>
      <xdr:colOff>671195</xdr:colOff>
      <xdr:row>2</xdr:row>
      <xdr:rowOff>61595</xdr:rowOff>
    </xdr:to>
    <xdr:pic>
      <xdr:nvPicPr>
        <xdr:cNvPr id="5" name="图片 4" descr="httpshenryjaim.github.ioDQFWDQ1215150504-2020000015.html"/>
        <xdr:cNvPicPr>
          <a:picLocks noChangeAspect="1"/>
        </xdr:cNvPicPr>
      </xdr:nvPicPr>
      <xdr:blipFill>
        <a:blip r:embed="rId4"/>
        <a:stretch>
          <a:fillRect/>
        </a:stretch>
      </xdr:blipFill>
      <xdr:spPr>
        <a:xfrm>
          <a:off x="2724150" y="66675"/>
          <a:ext cx="575945" cy="57912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4.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6" Type="http://schemas.openxmlformats.org/officeDocument/2006/relationships/image" Target="../media/image7.wmf"/><Relationship Id="rId15" Type="http://schemas.openxmlformats.org/officeDocument/2006/relationships/control" Target="../activeX/activeX7.xml"/><Relationship Id="rId14" Type="http://schemas.openxmlformats.org/officeDocument/2006/relationships/image" Target="../media/image6.wmf"/><Relationship Id="rId13" Type="http://schemas.openxmlformats.org/officeDocument/2006/relationships/control" Target="../activeX/activeX6.x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6" Type="http://schemas.openxmlformats.org/officeDocument/2006/relationships/image" Target="../media/image13.wmf"/><Relationship Id="rId5" Type="http://schemas.openxmlformats.org/officeDocument/2006/relationships/control" Target="../activeX/activeX9.xml"/><Relationship Id="rId4" Type="http://schemas.openxmlformats.org/officeDocument/2006/relationships/image" Target="../media/image12.wmf"/><Relationship Id="rId3" Type="http://schemas.openxmlformats.org/officeDocument/2006/relationships/control" Target="../activeX/activeX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0000"/>
    <outlinePr summaryRight="0"/>
  </sheetPr>
  <dimension ref="A1:K1000"/>
  <sheetViews>
    <sheetView workbookViewId="0">
      <pane xSplit="3" ySplit="2" topLeftCell="D3" activePane="bottomRight" state="frozen"/>
      <selection/>
      <selection pane="topRight"/>
      <selection pane="bottomLeft"/>
      <selection pane="bottomRight" activeCell="H11" sqref="H11:I11"/>
    </sheetView>
  </sheetViews>
  <sheetFormatPr defaultColWidth="9" defaultRowHeight="13.5"/>
  <cols>
    <col min="1" max="1" width="9.25" style="39" customWidth="1"/>
    <col min="2" max="2" width="39.25" style="39" customWidth="1"/>
    <col min="3" max="4" width="16.125" style="49" customWidth="1"/>
    <col min="5" max="5" width="24.75" style="39" customWidth="1" outlineLevel="1"/>
    <col min="6" max="6" width="8.875" style="39" customWidth="1" outlineLevel="1"/>
    <col min="7" max="7" width="13.5" style="39" customWidth="1" outlineLevel="1"/>
    <col min="8" max="8" width="16.125" style="39" customWidth="1" outlineLevel="1"/>
    <col min="9" max="9" width="12.375" style="39" customWidth="1" outlineLevel="1"/>
    <col min="10" max="10" width="14.625" style="39" customWidth="1" outlineLevel="1"/>
    <col min="11" max="11" width="13.5" style="39" customWidth="1" outlineLevel="1"/>
    <col min="12" max="16384" width="9" style="39"/>
  </cols>
  <sheetData>
    <row r="1" ht="27" customHeight="1" spans="1:11">
      <c r="A1" s="142" t="s">
        <v>0</v>
      </c>
      <c r="B1" s="142"/>
      <c r="C1" s="143"/>
      <c r="D1" s="143"/>
      <c r="E1" s="142"/>
      <c r="F1" s="142"/>
      <c r="G1" s="142"/>
      <c r="H1" s="142"/>
      <c r="I1" s="142"/>
      <c r="J1" s="142"/>
      <c r="K1" s="142"/>
    </row>
    <row r="2" s="132" customFormat="1" spans="1:11">
      <c r="A2" s="133" t="s">
        <v>1</v>
      </c>
      <c r="B2" s="133" t="s">
        <v>2</v>
      </c>
      <c r="C2" s="144" t="s">
        <v>3</v>
      </c>
      <c r="D2" s="144" t="s">
        <v>4</v>
      </c>
      <c r="E2" s="145" t="s">
        <v>5</v>
      </c>
      <c r="F2" s="145" t="s">
        <v>6</v>
      </c>
      <c r="G2" s="145" t="s">
        <v>7</v>
      </c>
      <c r="H2" s="145" t="s">
        <v>8</v>
      </c>
      <c r="I2" s="145" t="s">
        <v>9</v>
      </c>
      <c r="J2" s="145" t="s">
        <v>10</v>
      </c>
      <c r="K2" s="145" t="s">
        <v>11</v>
      </c>
    </row>
    <row r="3" ht="30" customHeight="1" spans="1:11">
      <c r="A3" s="49" t="s">
        <v>12</v>
      </c>
      <c r="B3" s="49" t="s">
        <v>13</v>
      </c>
      <c r="C3" s="49" t="s">
        <v>14</v>
      </c>
      <c r="D3" s="49" t="s">
        <v>14</v>
      </c>
      <c r="E3" s="49" t="s">
        <v>15</v>
      </c>
      <c r="F3" s="50" t="s">
        <v>16</v>
      </c>
      <c r="G3" s="49">
        <v>18228131927</v>
      </c>
      <c r="H3" s="49" t="s">
        <v>17</v>
      </c>
      <c r="I3" s="49">
        <v>17323288028</v>
      </c>
      <c r="J3" s="49" t="str">
        <f t="shared" ref="J3:J10" si="0">IF(F3&lt;&gt;"——","有见证取样送检","委托送样检测")</f>
        <v>有见证取样送检</v>
      </c>
      <c r="K3" s="49"/>
    </row>
    <row r="4" ht="30" customHeight="1" spans="1:11">
      <c r="A4" s="49" t="s">
        <v>18</v>
      </c>
      <c r="B4" s="49" t="s">
        <v>19</v>
      </c>
      <c r="C4" s="49" t="s">
        <v>14</v>
      </c>
      <c r="D4" s="49" t="s">
        <v>14</v>
      </c>
      <c r="E4" s="146" t="s">
        <v>20</v>
      </c>
      <c r="F4" s="146" t="s">
        <v>21</v>
      </c>
      <c r="G4" s="146">
        <v>15884546766</v>
      </c>
      <c r="H4" s="146" t="s">
        <v>22</v>
      </c>
      <c r="I4" s="146">
        <v>18128131927</v>
      </c>
      <c r="J4" s="49" t="str">
        <f t="shared" si="0"/>
        <v>有见证取样送检</v>
      </c>
      <c r="K4" s="49"/>
    </row>
    <row r="5" ht="30" customHeight="1" spans="1:11">
      <c r="A5" s="49" t="s">
        <v>23</v>
      </c>
      <c r="B5" s="146" t="s">
        <v>24</v>
      </c>
      <c r="C5" s="49" t="s">
        <v>14</v>
      </c>
      <c r="D5" s="49" t="s">
        <v>14</v>
      </c>
      <c r="E5" s="146" t="s">
        <v>20</v>
      </c>
      <c r="F5" s="146" t="s">
        <v>21</v>
      </c>
      <c r="G5" s="146">
        <v>15884546766</v>
      </c>
      <c r="H5" s="146" t="s">
        <v>22</v>
      </c>
      <c r="I5" s="146">
        <v>18128131927</v>
      </c>
      <c r="J5" s="49" t="str">
        <f t="shared" si="0"/>
        <v>有见证取样送检</v>
      </c>
      <c r="K5" s="49"/>
    </row>
    <row r="6" ht="30" customHeight="1" spans="1:11">
      <c r="A6" s="49" t="s">
        <v>25</v>
      </c>
      <c r="B6" s="146" t="s">
        <v>26</v>
      </c>
      <c r="C6" s="49" t="s">
        <v>14</v>
      </c>
      <c r="D6" s="49" t="s">
        <v>14</v>
      </c>
      <c r="E6" s="146" t="s">
        <v>20</v>
      </c>
      <c r="F6" s="146" t="s">
        <v>21</v>
      </c>
      <c r="G6" s="146">
        <v>15884546766</v>
      </c>
      <c r="H6" s="146" t="s">
        <v>22</v>
      </c>
      <c r="I6" s="146">
        <v>18128131927</v>
      </c>
      <c r="J6" s="49" t="str">
        <f t="shared" si="0"/>
        <v>有见证取样送检</v>
      </c>
      <c r="K6" s="49"/>
    </row>
    <row r="7" ht="30" customHeight="1" spans="1:11">
      <c r="A7" s="49" t="s">
        <v>27</v>
      </c>
      <c r="B7" s="146" t="s">
        <v>28</v>
      </c>
      <c r="C7" s="49" t="s">
        <v>14</v>
      </c>
      <c r="D7" s="49" t="s">
        <v>14</v>
      </c>
      <c r="E7" s="146" t="s">
        <v>20</v>
      </c>
      <c r="F7" s="146" t="s">
        <v>21</v>
      </c>
      <c r="G7" s="146">
        <v>15884546766</v>
      </c>
      <c r="H7" s="146" t="s">
        <v>22</v>
      </c>
      <c r="I7" s="146">
        <v>18128131927</v>
      </c>
      <c r="J7" s="49" t="str">
        <f t="shared" si="0"/>
        <v>有见证取样送检</v>
      </c>
      <c r="K7" s="49"/>
    </row>
    <row r="8" ht="30" customHeight="1" spans="1:11">
      <c r="A8" s="49" t="s">
        <v>29</v>
      </c>
      <c r="B8" s="136" t="s">
        <v>30</v>
      </c>
      <c r="C8" s="49" t="s">
        <v>14</v>
      </c>
      <c r="D8" s="49" t="s">
        <v>14</v>
      </c>
      <c r="E8" s="146" t="s">
        <v>20</v>
      </c>
      <c r="F8" s="146" t="s">
        <v>21</v>
      </c>
      <c r="G8" s="146">
        <v>15884546766</v>
      </c>
      <c r="H8" s="146" t="s">
        <v>22</v>
      </c>
      <c r="I8" s="146">
        <v>18128131927</v>
      </c>
      <c r="J8" s="49" t="str">
        <f t="shared" si="0"/>
        <v>有见证取样送检</v>
      </c>
      <c r="K8" s="49"/>
    </row>
    <row r="9" ht="30" customHeight="1" spans="1:11">
      <c r="A9" s="49" t="s">
        <v>31</v>
      </c>
      <c r="B9" s="39" t="s">
        <v>32</v>
      </c>
      <c r="C9" s="39" t="s">
        <v>33</v>
      </c>
      <c r="D9" s="39" t="s">
        <v>33</v>
      </c>
      <c r="E9" s="39" t="s">
        <v>34</v>
      </c>
      <c r="F9" s="39" t="s">
        <v>35</v>
      </c>
      <c r="G9" s="39">
        <v>15288669020</v>
      </c>
      <c r="H9" s="39" t="s">
        <v>36</v>
      </c>
      <c r="I9" s="140">
        <v>18182238027</v>
      </c>
      <c r="J9" s="49" t="str">
        <f t="shared" si="0"/>
        <v>有见证取样送检</v>
      </c>
      <c r="K9" s="49"/>
    </row>
    <row r="10" ht="30" customHeight="1" spans="1:11">
      <c r="A10" s="49" t="s">
        <v>37</v>
      </c>
      <c r="B10" s="140" t="s">
        <v>38</v>
      </c>
      <c r="C10" s="147" t="s">
        <v>39</v>
      </c>
      <c r="D10" s="22" t="s">
        <v>40</v>
      </c>
      <c r="E10" s="140" t="s">
        <v>20</v>
      </c>
      <c r="F10" s="105" t="s">
        <v>41</v>
      </c>
      <c r="G10" s="39">
        <v>13629036069</v>
      </c>
      <c r="H10" s="105" t="s">
        <v>42</v>
      </c>
      <c r="I10" s="105">
        <v>13990931938</v>
      </c>
      <c r="J10" s="49" t="str">
        <f t="shared" si="0"/>
        <v>有见证取样送检</v>
      </c>
      <c r="K10"/>
    </row>
    <row r="11" ht="30" customHeight="1" spans="1:11">
      <c r="A11" s="49" t="s">
        <v>43</v>
      </c>
      <c r="B11" s="120" t="s">
        <v>44</v>
      </c>
      <c r="C11" s="120" t="s">
        <v>45</v>
      </c>
      <c r="D11" s="120" t="s">
        <v>45</v>
      </c>
      <c r="E11" s="120" t="s">
        <v>46</v>
      </c>
      <c r="F11" s="120" t="s">
        <v>46</v>
      </c>
      <c r="G11" s="120" t="s">
        <v>46</v>
      </c>
      <c r="H11" s="49" t="s">
        <v>47</v>
      </c>
      <c r="I11" s="120">
        <v>13890951229</v>
      </c>
      <c r="J11" s="120" t="s">
        <v>48</v>
      </c>
      <c r="K11"/>
    </row>
    <row r="12" ht="30" customHeight="1" spans="1:11">
      <c r="A12"/>
      <c r="B12"/>
      <c r="C12"/>
      <c r="D12"/>
      <c r="E12"/>
      <c r="F12"/>
      <c r="G12"/>
      <c r="H12"/>
      <c r="I12"/>
      <c r="J12"/>
      <c r="K12"/>
    </row>
    <row r="13" ht="30" customHeight="1" spans="1:11">
      <c r="A13"/>
      <c r="B13"/>
      <c r="C13"/>
      <c r="D13"/>
      <c r="E13"/>
      <c r="F13"/>
      <c r="G13"/>
      <c r="H13"/>
      <c r="I13"/>
      <c r="J13"/>
      <c r="K13"/>
    </row>
    <row r="14" ht="30" customHeight="1" spans="1:11">
      <c r="A14"/>
      <c r="B14"/>
      <c r="C14"/>
      <c r="D14"/>
      <c r="E14"/>
      <c r="F14"/>
      <c r="G14"/>
      <c r="H14"/>
      <c r="I14"/>
      <c r="J14"/>
      <c r="K14"/>
    </row>
    <row r="15" ht="30" customHeight="1" spans="1:11">
      <c r="A15"/>
      <c r="B15"/>
      <c r="C15"/>
      <c r="D15"/>
      <c r="E15"/>
      <c r="F15"/>
      <c r="G15"/>
      <c r="H15"/>
      <c r="I15"/>
      <c r="J15"/>
      <c r="K15"/>
    </row>
    <row r="16" ht="30" customHeight="1" spans="1:11">
      <c r="A16"/>
      <c r="B16"/>
      <c r="C16"/>
      <c r="D16"/>
      <c r="E16"/>
      <c r="F16"/>
      <c r="G16"/>
      <c r="H16"/>
      <c r="I16"/>
      <c r="J16"/>
      <c r="K16"/>
    </row>
    <row r="17" ht="30" customHeight="1" spans="1:11">
      <c r="A17"/>
      <c r="B17"/>
      <c r="C17"/>
      <c r="D17"/>
      <c r="E17"/>
      <c r="F17"/>
      <c r="G17"/>
      <c r="H17"/>
      <c r="I17"/>
      <c r="J17"/>
      <c r="K17"/>
    </row>
    <row r="18" ht="30" customHeight="1" spans="1:11">
      <c r="A18"/>
      <c r="B18"/>
      <c r="C18"/>
      <c r="D18"/>
      <c r="E18"/>
      <c r="F18"/>
      <c r="G18"/>
      <c r="H18"/>
      <c r="I18"/>
      <c r="J18"/>
      <c r="K18"/>
    </row>
    <row r="19" ht="30" customHeight="1" spans="1:11">
      <c r="A19"/>
      <c r="B19"/>
      <c r="C19"/>
      <c r="D19"/>
      <c r="E19"/>
      <c r="F19"/>
      <c r="G19"/>
      <c r="H19"/>
      <c r="I19"/>
      <c r="J19"/>
      <c r="K19"/>
    </row>
    <row r="20" ht="30" customHeight="1" spans="1:11">
      <c r="A20"/>
      <c r="B20"/>
      <c r="C20"/>
      <c r="D20"/>
      <c r="E20"/>
      <c r="F20"/>
      <c r="G20"/>
      <c r="H20"/>
      <c r="I20"/>
      <c r="J20"/>
      <c r="K20"/>
    </row>
    <row r="21" ht="30" customHeight="1" spans="1:11">
      <c r="A21"/>
      <c r="B21"/>
      <c r="C21"/>
      <c r="D21"/>
      <c r="E21"/>
      <c r="F21"/>
      <c r="G21"/>
      <c r="H21"/>
      <c r="I21"/>
      <c r="J21"/>
      <c r="K21"/>
    </row>
    <row r="22" ht="30" customHeight="1" spans="1:11">
      <c r="A22"/>
      <c r="B22"/>
      <c r="C22"/>
      <c r="D22"/>
      <c r="E22"/>
      <c r="F22"/>
      <c r="G22"/>
      <c r="H22"/>
      <c r="I22"/>
      <c r="J22"/>
      <c r="K22"/>
    </row>
    <row r="23" ht="30" customHeight="1" spans="1:11">
      <c r="A23"/>
      <c r="B23"/>
      <c r="C23"/>
      <c r="D23"/>
      <c r="E23"/>
      <c r="F23"/>
      <c r="G23"/>
      <c r="H23"/>
      <c r="I23"/>
      <c r="J23"/>
      <c r="K23"/>
    </row>
    <row r="24" ht="30" customHeight="1" spans="1:11">
      <c r="A24"/>
      <c r="B24"/>
      <c r="C24"/>
      <c r="D24"/>
      <c r="E24"/>
      <c r="F24"/>
      <c r="G24"/>
      <c r="H24"/>
      <c r="I24"/>
      <c r="J24"/>
      <c r="K24"/>
    </row>
    <row r="25" ht="30" customHeight="1" spans="1:11">
      <c r="A25"/>
      <c r="B25"/>
      <c r="C25"/>
      <c r="D25"/>
      <c r="E25"/>
      <c r="F25"/>
      <c r="G25"/>
      <c r="H25"/>
      <c r="I25"/>
      <c r="J25"/>
      <c r="K25"/>
    </row>
    <row r="26" ht="30" customHeight="1" spans="1:11">
      <c r="A26"/>
      <c r="B26"/>
      <c r="C26"/>
      <c r="D26"/>
      <c r="E26"/>
      <c r="F26"/>
      <c r="G26"/>
      <c r="H26"/>
      <c r="I26"/>
      <c r="J26"/>
      <c r="K26"/>
    </row>
    <row r="27" ht="30" customHeight="1" spans="1:11">
      <c r="A27"/>
      <c r="B27"/>
      <c r="C27"/>
      <c r="D27"/>
      <c r="E27"/>
      <c r="F27"/>
      <c r="G27"/>
      <c r="H27"/>
      <c r="I27"/>
      <c r="J27"/>
      <c r="K27"/>
    </row>
    <row r="28" ht="30" customHeight="1" spans="1:11">
      <c r="A28"/>
      <c r="B28"/>
      <c r="C28"/>
      <c r="D28"/>
      <c r="E28"/>
      <c r="F28"/>
      <c r="G28"/>
      <c r="H28"/>
      <c r="I28"/>
      <c r="J28"/>
      <c r="K28"/>
    </row>
    <row r="29" ht="30" customHeight="1" spans="1:11">
      <c r="A29"/>
      <c r="B29"/>
      <c r="C29"/>
      <c r="D29"/>
      <c r="E29"/>
      <c r="F29"/>
      <c r="G29"/>
      <c r="H29"/>
      <c r="I29"/>
      <c r="J29"/>
      <c r="K29"/>
    </row>
    <row r="30" ht="30" customHeight="1" spans="1:11">
      <c r="A30"/>
      <c r="B30"/>
      <c r="C30"/>
      <c r="D30"/>
      <c r="E30"/>
      <c r="F30"/>
      <c r="G30"/>
      <c r="H30"/>
      <c r="I30"/>
      <c r="J30"/>
      <c r="K30"/>
    </row>
    <row r="31" ht="30" customHeight="1" spans="1:11">
      <c r="A31"/>
      <c r="B31"/>
      <c r="C31"/>
      <c r="D31"/>
      <c r="E31"/>
      <c r="F31"/>
      <c r="G31"/>
      <c r="H31"/>
      <c r="I31"/>
      <c r="J31"/>
      <c r="K31"/>
    </row>
    <row r="32" ht="30" customHeight="1" spans="1:11">
      <c r="A32"/>
      <c r="B32"/>
      <c r="C32"/>
      <c r="D32"/>
      <c r="E32"/>
      <c r="F32"/>
      <c r="G32"/>
      <c r="H32"/>
      <c r="I32"/>
      <c r="J32"/>
      <c r="K32"/>
    </row>
    <row r="33" ht="30" customHeight="1" spans="1:11">
      <c r="A33"/>
      <c r="B33"/>
      <c r="C33"/>
      <c r="D33"/>
      <c r="E33"/>
      <c r="F33"/>
      <c r="G33"/>
      <c r="H33"/>
      <c r="I33"/>
      <c r="J33"/>
      <c r="K33"/>
    </row>
    <row r="34" ht="30" customHeight="1" spans="1:11">
      <c r="A34"/>
      <c r="B34"/>
      <c r="C34"/>
      <c r="D34"/>
      <c r="E34"/>
      <c r="F34"/>
      <c r="G34"/>
      <c r="H34"/>
      <c r="I34"/>
      <c r="J34"/>
      <c r="K34"/>
    </row>
    <row r="35" ht="30" customHeight="1" spans="1:11">
      <c r="A35"/>
      <c r="B35"/>
      <c r="C35"/>
      <c r="D35"/>
      <c r="E35"/>
      <c r="F35"/>
      <c r="G35"/>
      <c r="H35"/>
      <c r="I35"/>
      <c r="J35"/>
      <c r="K35"/>
    </row>
    <row r="36" ht="30" customHeight="1" spans="1:11">
      <c r="A36"/>
      <c r="B36"/>
      <c r="C36"/>
      <c r="D36"/>
      <c r="E36"/>
      <c r="F36"/>
      <c r="G36"/>
      <c r="H36"/>
      <c r="I36"/>
      <c r="J36"/>
      <c r="K36"/>
    </row>
    <row r="37" ht="30" customHeight="1" spans="1:11">
      <c r="A37"/>
      <c r="B37"/>
      <c r="C37"/>
      <c r="D37"/>
      <c r="E37"/>
      <c r="F37"/>
      <c r="G37"/>
      <c r="H37"/>
      <c r="I37"/>
      <c r="J37"/>
      <c r="K37"/>
    </row>
    <row r="38" ht="30" customHeight="1" spans="1:11">
      <c r="A38"/>
      <c r="B38"/>
      <c r="C38"/>
      <c r="D38"/>
      <c r="E38"/>
      <c r="F38"/>
      <c r="G38"/>
      <c r="H38"/>
      <c r="I38"/>
      <c r="J38"/>
      <c r="K38"/>
    </row>
    <row r="39" ht="30" customHeight="1" spans="1:11">
      <c r="A39"/>
      <c r="B39"/>
      <c r="C39"/>
      <c r="D39"/>
      <c r="E39"/>
      <c r="F39"/>
      <c r="G39"/>
      <c r="H39"/>
      <c r="I39"/>
      <c r="J39"/>
      <c r="K39"/>
    </row>
    <row r="40" ht="30" customHeight="1" spans="1:11">
      <c r="A40"/>
      <c r="B40"/>
      <c r="C40"/>
      <c r="D40"/>
      <c r="E40"/>
      <c r="F40"/>
      <c r="G40"/>
      <c r="H40"/>
      <c r="I40"/>
      <c r="J40"/>
      <c r="K40"/>
    </row>
    <row r="41" ht="30" customHeight="1" spans="1:11">
      <c r="A41"/>
      <c r="B41"/>
      <c r="C41"/>
      <c r="D41"/>
      <c r="E41"/>
      <c r="F41"/>
      <c r="G41"/>
      <c r="H41"/>
      <c r="I41"/>
      <c r="J41"/>
      <c r="K41"/>
    </row>
    <row r="42" ht="30" customHeight="1" spans="1:11">
      <c r="A42"/>
      <c r="B42"/>
      <c r="C42"/>
      <c r="D42"/>
      <c r="E42"/>
      <c r="F42"/>
      <c r="G42"/>
      <c r="H42"/>
      <c r="I42"/>
      <c r="J42"/>
      <c r="K42"/>
    </row>
    <row r="43" ht="30" customHeight="1" spans="1:11">
      <c r="A43"/>
      <c r="B43"/>
      <c r="C43"/>
      <c r="D43"/>
      <c r="E43"/>
      <c r="F43"/>
      <c r="G43"/>
      <c r="H43"/>
      <c r="I43"/>
      <c r="J43"/>
      <c r="K43"/>
    </row>
    <row r="44" ht="30" customHeight="1" spans="1:11">
      <c r="A44"/>
      <c r="B44"/>
      <c r="C44"/>
      <c r="D44"/>
      <c r="E44"/>
      <c r="F44"/>
      <c r="G44"/>
      <c r="H44"/>
      <c r="I44"/>
      <c r="J44"/>
      <c r="K44"/>
    </row>
    <row r="45" ht="30" customHeight="1" spans="1:11">
      <c r="A45"/>
      <c r="B45"/>
      <c r="C45"/>
      <c r="D45"/>
      <c r="E45"/>
      <c r="F45"/>
      <c r="G45"/>
      <c r="H45"/>
      <c r="I45"/>
      <c r="J45"/>
      <c r="K45"/>
    </row>
    <row r="46" ht="30" customHeight="1" spans="1:11">
      <c r="A46"/>
      <c r="B46"/>
      <c r="C46"/>
      <c r="D46"/>
      <c r="E46"/>
      <c r="F46"/>
      <c r="G46"/>
      <c r="H46"/>
      <c r="I46"/>
      <c r="J46"/>
      <c r="K46"/>
    </row>
    <row r="47" ht="30" customHeight="1" spans="1:11">
      <c r="A47"/>
      <c r="B47"/>
      <c r="C47"/>
      <c r="D47"/>
      <c r="E47"/>
      <c r="F47"/>
      <c r="G47"/>
      <c r="H47"/>
      <c r="I47"/>
      <c r="J47"/>
      <c r="K47"/>
    </row>
    <row r="48" ht="30" customHeight="1" spans="1:11">
      <c r="A48"/>
      <c r="B48"/>
      <c r="C48"/>
      <c r="D48"/>
      <c r="E48"/>
      <c r="F48"/>
      <c r="G48"/>
      <c r="H48"/>
      <c r="I48"/>
      <c r="J48"/>
      <c r="K48"/>
    </row>
    <row r="49" ht="30" customHeight="1" spans="1:11">
      <c r="A49"/>
      <c r="B49"/>
      <c r="C49"/>
      <c r="D49"/>
      <c r="E49"/>
      <c r="F49"/>
      <c r="G49"/>
      <c r="H49"/>
      <c r="I49"/>
      <c r="J49"/>
      <c r="K49"/>
    </row>
    <row r="50" ht="30" customHeight="1" spans="1:11">
      <c r="A50"/>
      <c r="B50"/>
      <c r="C50"/>
      <c r="D50"/>
      <c r="E50"/>
      <c r="F50"/>
      <c r="G50"/>
      <c r="H50"/>
      <c r="I50"/>
      <c r="J50"/>
      <c r="K50"/>
    </row>
    <row r="51" ht="30" customHeight="1" spans="1:11">
      <c r="A51"/>
      <c r="B51"/>
      <c r="C51"/>
      <c r="D51"/>
      <c r="E51"/>
      <c r="F51"/>
      <c r="G51"/>
      <c r="H51"/>
      <c r="I51"/>
      <c r="J51"/>
      <c r="K51"/>
    </row>
    <row r="52" ht="30" customHeight="1" spans="1:11">
      <c r="A52"/>
      <c r="B52"/>
      <c r="C52"/>
      <c r="D52"/>
      <c r="E52"/>
      <c r="F52"/>
      <c r="G52"/>
      <c r="H52"/>
      <c r="I52"/>
      <c r="J52"/>
      <c r="K52"/>
    </row>
    <row r="53" ht="30" customHeight="1" spans="1:11">
      <c r="A53"/>
      <c r="B53"/>
      <c r="C53"/>
      <c r="D53"/>
      <c r="E53"/>
      <c r="F53"/>
      <c r="G53"/>
      <c r="H53"/>
      <c r="I53"/>
      <c r="J53"/>
      <c r="K53"/>
    </row>
    <row r="54" ht="30" customHeight="1" spans="1:11">
      <c r="A54"/>
      <c r="B54"/>
      <c r="C54"/>
      <c r="D54"/>
      <c r="E54"/>
      <c r="F54"/>
      <c r="G54"/>
      <c r="H54"/>
      <c r="I54"/>
      <c r="J54"/>
      <c r="K54"/>
    </row>
    <row r="55" ht="30" customHeight="1" spans="1:11">
      <c r="A55"/>
      <c r="B55"/>
      <c r="C55"/>
      <c r="D55"/>
      <c r="E55"/>
      <c r="F55"/>
      <c r="G55"/>
      <c r="H55"/>
      <c r="I55"/>
      <c r="J55"/>
      <c r="K55"/>
    </row>
    <row r="56" ht="30" customHeight="1" spans="1:11">
      <c r="A56"/>
      <c r="B56"/>
      <c r="C56"/>
      <c r="D56"/>
      <c r="E56"/>
      <c r="F56"/>
      <c r="G56"/>
      <c r="H56"/>
      <c r="I56"/>
      <c r="J56"/>
      <c r="K56"/>
    </row>
    <row r="57" ht="30" customHeight="1" spans="1:11">
      <c r="A57"/>
      <c r="B57"/>
      <c r="C57"/>
      <c r="D57"/>
      <c r="E57"/>
      <c r="F57"/>
      <c r="G57"/>
      <c r="H57"/>
      <c r="I57"/>
      <c r="J57"/>
      <c r="K57"/>
    </row>
    <row r="58" ht="30" customHeight="1" spans="1:11">
      <c r="A58"/>
      <c r="B58"/>
      <c r="C58"/>
      <c r="D58"/>
      <c r="E58"/>
      <c r="F58"/>
      <c r="G58"/>
      <c r="H58"/>
      <c r="I58"/>
      <c r="J58"/>
      <c r="K58"/>
    </row>
    <row r="59" ht="30" customHeight="1" spans="1:11">
      <c r="A59"/>
      <c r="B59"/>
      <c r="C59"/>
      <c r="D59"/>
      <c r="E59"/>
      <c r="F59"/>
      <c r="G59"/>
      <c r="H59"/>
      <c r="I59"/>
      <c r="J59"/>
      <c r="K59"/>
    </row>
    <row r="60" ht="30" customHeight="1" spans="1:11">
      <c r="A60"/>
      <c r="B60"/>
      <c r="C60"/>
      <c r="D60"/>
      <c r="E60"/>
      <c r="F60"/>
      <c r="G60"/>
      <c r="H60"/>
      <c r="I60"/>
      <c r="J60"/>
      <c r="K60"/>
    </row>
    <row r="61" ht="30" customHeight="1" spans="1:11">
      <c r="A61"/>
      <c r="B61"/>
      <c r="C61"/>
      <c r="D61"/>
      <c r="E61"/>
      <c r="F61"/>
      <c r="G61"/>
      <c r="H61"/>
      <c r="I61"/>
      <c r="J61"/>
      <c r="K61"/>
    </row>
    <row r="62" ht="30" customHeight="1" spans="1:11">
      <c r="A62"/>
      <c r="B62"/>
      <c r="C62"/>
      <c r="D62"/>
      <c r="E62"/>
      <c r="F62"/>
      <c r="G62"/>
      <c r="H62"/>
      <c r="I62"/>
      <c r="J62"/>
      <c r="K62"/>
    </row>
    <row r="63" ht="30" customHeight="1" spans="1:11">
      <c r="A63"/>
      <c r="B63"/>
      <c r="C63"/>
      <c r="D63"/>
      <c r="E63"/>
      <c r="F63"/>
      <c r="G63"/>
      <c r="H63"/>
      <c r="I63"/>
      <c r="J63"/>
      <c r="K63"/>
    </row>
    <row r="64" ht="30" customHeight="1" spans="1:11">
      <c r="A64"/>
      <c r="B64"/>
      <c r="C64"/>
      <c r="D64"/>
      <c r="E64"/>
      <c r="F64"/>
      <c r="G64"/>
      <c r="H64"/>
      <c r="I64"/>
      <c r="J64"/>
      <c r="K64"/>
    </row>
    <row r="65" ht="30" customHeight="1" spans="1:11">
      <c r="A65"/>
      <c r="B65"/>
      <c r="C65"/>
      <c r="D65"/>
      <c r="E65"/>
      <c r="F65"/>
      <c r="G65"/>
      <c r="H65"/>
      <c r="I65"/>
      <c r="J65"/>
      <c r="K65"/>
    </row>
    <row r="66" ht="30" customHeight="1" spans="1:11">
      <c r="A66"/>
      <c r="B66"/>
      <c r="C66"/>
      <c r="D66"/>
      <c r="E66"/>
      <c r="F66"/>
      <c r="G66"/>
      <c r="H66"/>
      <c r="I66"/>
      <c r="J66"/>
      <c r="K66"/>
    </row>
    <row r="67" ht="30" customHeight="1" spans="1:11">
      <c r="A67"/>
      <c r="B67"/>
      <c r="C67"/>
      <c r="D67"/>
      <c r="E67"/>
      <c r="F67"/>
      <c r="G67"/>
      <c r="H67"/>
      <c r="I67"/>
      <c r="J67"/>
      <c r="K67"/>
    </row>
    <row r="68" ht="30" customHeight="1" spans="1:11">
      <c r="A68"/>
      <c r="B68"/>
      <c r="C68"/>
      <c r="D68"/>
      <c r="E68"/>
      <c r="F68"/>
      <c r="G68"/>
      <c r="H68"/>
      <c r="I68"/>
      <c r="J68"/>
      <c r="K68"/>
    </row>
    <row r="69" ht="30" customHeight="1" spans="1:11">
      <c r="A69"/>
      <c r="B69"/>
      <c r="C69"/>
      <c r="D69"/>
      <c r="E69"/>
      <c r="F69"/>
      <c r="G69"/>
      <c r="H69"/>
      <c r="I69"/>
      <c r="J69"/>
      <c r="K69"/>
    </row>
    <row r="70" ht="30" customHeight="1" spans="1:11">
      <c r="A70"/>
      <c r="B70"/>
      <c r="C70"/>
      <c r="D70"/>
      <c r="E70"/>
      <c r="F70"/>
      <c r="G70"/>
      <c r="H70"/>
      <c r="I70"/>
      <c r="J70"/>
      <c r="K70"/>
    </row>
    <row r="71" ht="30" customHeight="1" spans="1:11">
      <c r="A71"/>
      <c r="B71"/>
      <c r="C71"/>
      <c r="D71"/>
      <c r="E71"/>
      <c r="F71"/>
      <c r="G71"/>
      <c r="H71"/>
      <c r="I71"/>
      <c r="J71"/>
      <c r="K71"/>
    </row>
    <row r="72" ht="30" customHeight="1" spans="1:11">
      <c r="A72"/>
      <c r="B72"/>
      <c r="C72"/>
      <c r="D72"/>
      <c r="E72"/>
      <c r="F72"/>
      <c r="G72"/>
      <c r="H72"/>
      <c r="I72"/>
      <c r="J72"/>
      <c r="K72"/>
    </row>
    <row r="73" ht="30" customHeight="1" spans="1:11">
      <c r="A73"/>
      <c r="B73"/>
      <c r="C73"/>
      <c r="D73"/>
      <c r="E73"/>
      <c r="F73"/>
      <c r="G73"/>
      <c r="H73"/>
      <c r="I73"/>
      <c r="J73"/>
      <c r="K73"/>
    </row>
    <row r="74" ht="30" customHeight="1" spans="1:11">
      <c r="A74"/>
      <c r="B74"/>
      <c r="C74"/>
      <c r="D74"/>
      <c r="E74"/>
      <c r="F74"/>
      <c r="G74"/>
      <c r="H74"/>
      <c r="I74"/>
      <c r="J74"/>
      <c r="K74"/>
    </row>
    <row r="75" ht="30" customHeight="1" spans="1:11">
      <c r="A75"/>
      <c r="B75"/>
      <c r="C75"/>
      <c r="D75"/>
      <c r="E75"/>
      <c r="F75"/>
      <c r="G75"/>
      <c r="H75"/>
      <c r="I75"/>
      <c r="J75"/>
      <c r="K75"/>
    </row>
    <row r="76" ht="30" customHeight="1" spans="1:11">
      <c r="A76"/>
      <c r="B76"/>
      <c r="C76"/>
      <c r="D76"/>
      <c r="E76"/>
      <c r="F76"/>
      <c r="G76"/>
      <c r="H76"/>
      <c r="I76"/>
      <c r="J76"/>
      <c r="K76"/>
    </row>
    <row r="77" ht="30" customHeight="1" spans="1:11">
      <c r="A77"/>
      <c r="B77"/>
      <c r="C77"/>
      <c r="D77"/>
      <c r="E77"/>
      <c r="F77"/>
      <c r="G77"/>
      <c r="H77"/>
      <c r="I77"/>
      <c r="J77"/>
      <c r="K77"/>
    </row>
    <row r="78" ht="30" customHeight="1" spans="1:11">
      <c r="A78"/>
      <c r="B78"/>
      <c r="C78"/>
      <c r="D78"/>
      <c r="E78"/>
      <c r="F78"/>
      <c r="G78"/>
      <c r="H78"/>
      <c r="I78"/>
      <c r="J78"/>
      <c r="K78"/>
    </row>
    <row r="79" ht="30" customHeight="1" spans="1:11">
      <c r="A79"/>
      <c r="B79"/>
      <c r="C79"/>
      <c r="D79"/>
      <c r="E79"/>
      <c r="F79"/>
      <c r="G79"/>
      <c r="H79"/>
      <c r="I79"/>
      <c r="J79"/>
      <c r="K79"/>
    </row>
    <row r="80" ht="30" customHeight="1" spans="1:11">
      <c r="A80"/>
      <c r="B80"/>
      <c r="C80"/>
      <c r="D80"/>
      <c r="E80"/>
      <c r="F80"/>
      <c r="G80"/>
      <c r="H80"/>
      <c r="I80"/>
      <c r="J80"/>
      <c r="K80"/>
    </row>
    <row r="81" ht="30" customHeight="1" spans="1:11">
      <c r="A81"/>
      <c r="B81"/>
      <c r="C81"/>
      <c r="D81"/>
      <c r="E81"/>
      <c r="F81"/>
      <c r="G81"/>
      <c r="H81"/>
      <c r="I81"/>
      <c r="J81"/>
      <c r="K81"/>
    </row>
    <row r="82" ht="30" customHeight="1" spans="1:11">
      <c r="A82"/>
      <c r="B82"/>
      <c r="C82"/>
      <c r="D82"/>
      <c r="E82"/>
      <c r="F82"/>
      <c r="G82"/>
      <c r="H82"/>
      <c r="I82"/>
      <c r="J82"/>
      <c r="K82"/>
    </row>
    <row r="83" ht="30" customHeight="1" spans="1:11">
      <c r="A83"/>
      <c r="B83"/>
      <c r="C83"/>
      <c r="D83"/>
      <c r="E83"/>
      <c r="F83"/>
      <c r="G83"/>
      <c r="H83"/>
      <c r="I83"/>
      <c r="J83"/>
      <c r="K83"/>
    </row>
    <row r="84" ht="30" customHeight="1" spans="1:11">
      <c r="A84"/>
      <c r="B84"/>
      <c r="C84"/>
      <c r="D84"/>
      <c r="E84"/>
      <c r="F84"/>
      <c r="G84"/>
      <c r="H84"/>
      <c r="I84"/>
      <c r="J84"/>
      <c r="K84"/>
    </row>
    <row r="85" ht="30" customHeight="1" spans="1:11">
      <c r="A85"/>
      <c r="B85"/>
      <c r="C85"/>
      <c r="D85"/>
      <c r="E85"/>
      <c r="F85"/>
      <c r="G85"/>
      <c r="H85"/>
      <c r="I85"/>
      <c r="J85"/>
      <c r="K85"/>
    </row>
    <row r="86" ht="30" customHeight="1" spans="1:11">
      <c r="A86"/>
      <c r="B86"/>
      <c r="C86"/>
      <c r="D86"/>
      <c r="E86"/>
      <c r="F86"/>
      <c r="G86"/>
      <c r="H86"/>
      <c r="I86"/>
      <c r="J86"/>
      <c r="K86"/>
    </row>
    <row r="87" ht="30" customHeight="1" spans="1:11">
      <c r="A87"/>
      <c r="B87"/>
      <c r="C87"/>
      <c r="D87"/>
      <c r="E87"/>
      <c r="F87"/>
      <c r="G87"/>
      <c r="H87"/>
      <c r="I87"/>
      <c r="J87"/>
      <c r="K87"/>
    </row>
    <row r="88" ht="30" customHeight="1" spans="1:11">
      <c r="A88"/>
      <c r="B88"/>
      <c r="C88"/>
      <c r="D88"/>
      <c r="E88"/>
      <c r="F88"/>
      <c r="G88"/>
      <c r="H88"/>
      <c r="I88"/>
      <c r="J88"/>
      <c r="K88"/>
    </row>
    <row r="89" ht="30" customHeight="1" spans="1:11">
      <c r="A89"/>
      <c r="B89"/>
      <c r="C89"/>
      <c r="D89"/>
      <c r="E89"/>
      <c r="F89"/>
      <c r="G89"/>
      <c r="H89"/>
      <c r="I89"/>
      <c r="J89"/>
      <c r="K89"/>
    </row>
    <row r="90" ht="30" customHeight="1" spans="1:11">
      <c r="A90"/>
      <c r="B90"/>
      <c r="C90"/>
      <c r="D90"/>
      <c r="E90"/>
      <c r="F90"/>
      <c r="G90"/>
      <c r="H90"/>
      <c r="I90"/>
      <c r="J90"/>
      <c r="K90"/>
    </row>
    <row r="91" ht="30" customHeight="1" spans="1:11">
      <c r="A91"/>
      <c r="B91"/>
      <c r="C91"/>
      <c r="D91"/>
      <c r="E91"/>
      <c r="F91"/>
      <c r="G91"/>
      <c r="H91"/>
      <c r="I91"/>
      <c r="J91"/>
      <c r="K91"/>
    </row>
    <row r="92" ht="30" customHeight="1" spans="1:11">
      <c r="A92"/>
      <c r="B92"/>
      <c r="C92"/>
      <c r="D92"/>
      <c r="E92"/>
      <c r="F92"/>
      <c r="G92"/>
      <c r="H92"/>
      <c r="I92"/>
      <c r="J92"/>
      <c r="K92"/>
    </row>
    <row r="93" ht="30" customHeight="1" spans="1:11">
      <c r="A93"/>
      <c r="B93"/>
      <c r="C93"/>
      <c r="D93"/>
      <c r="E93"/>
      <c r="F93"/>
      <c r="G93"/>
      <c r="H93"/>
      <c r="I93"/>
      <c r="J93"/>
      <c r="K93"/>
    </row>
    <row r="94" ht="30" customHeight="1" spans="1:11">
      <c r="A94"/>
      <c r="B94"/>
      <c r="C94"/>
      <c r="D94"/>
      <c r="E94"/>
      <c r="F94"/>
      <c r="G94"/>
      <c r="H94"/>
      <c r="I94"/>
      <c r="J94"/>
      <c r="K94"/>
    </row>
    <row r="95" ht="30" customHeight="1" spans="1:11">
      <c r="A95"/>
      <c r="B95"/>
      <c r="C95"/>
      <c r="D95"/>
      <c r="E95"/>
      <c r="F95"/>
      <c r="G95"/>
      <c r="H95"/>
      <c r="I95"/>
      <c r="J95"/>
      <c r="K95"/>
    </row>
    <row r="96" ht="30" customHeight="1" spans="1:11">
      <c r="A96"/>
      <c r="B96"/>
      <c r="C96"/>
      <c r="D96"/>
      <c r="E96"/>
      <c r="F96"/>
      <c r="G96"/>
      <c r="H96"/>
      <c r="I96"/>
      <c r="J96"/>
      <c r="K96"/>
    </row>
    <row r="97" ht="30" customHeight="1" spans="1:11">
      <c r="A97"/>
      <c r="B97"/>
      <c r="C97"/>
      <c r="D97"/>
      <c r="E97"/>
      <c r="F97"/>
      <c r="G97"/>
      <c r="H97"/>
      <c r="I97"/>
      <c r="J97"/>
      <c r="K97"/>
    </row>
    <row r="98" ht="30" customHeight="1" spans="1:11">
      <c r="A98"/>
      <c r="B98"/>
      <c r="C98"/>
      <c r="D98"/>
      <c r="E98"/>
      <c r="F98"/>
      <c r="G98"/>
      <c r="H98"/>
      <c r="I98"/>
      <c r="J98"/>
      <c r="K98"/>
    </row>
    <row r="99" ht="30" customHeight="1" spans="1:11">
      <c r="A99"/>
      <c r="B99"/>
      <c r="C99"/>
      <c r="D99"/>
      <c r="E99"/>
      <c r="F99"/>
      <c r="G99"/>
      <c r="H99"/>
      <c r="I99"/>
      <c r="J99"/>
      <c r="K99"/>
    </row>
    <row r="100" ht="30" customHeight="1" spans="1:11">
      <c r="A100"/>
      <c r="B100"/>
      <c r="C100"/>
      <c r="D100"/>
      <c r="E100"/>
      <c r="F100"/>
      <c r="G100"/>
      <c r="H100"/>
      <c r="I100"/>
      <c r="J100"/>
      <c r="K100"/>
    </row>
    <row r="101" ht="30" customHeight="1" spans="1:11">
      <c r="A101"/>
      <c r="B101"/>
      <c r="C101"/>
      <c r="D101"/>
      <c r="E101"/>
      <c r="F101"/>
      <c r="G101"/>
      <c r="H101"/>
      <c r="I101"/>
      <c r="J101"/>
      <c r="K101"/>
    </row>
    <row r="102" ht="30" customHeight="1" spans="1:11">
      <c r="A102"/>
      <c r="B102"/>
      <c r="C102"/>
      <c r="D102"/>
      <c r="E102"/>
      <c r="F102"/>
      <c r="G102"/>
      <c r="H102"/>
      <c r="I102"/>
      <c r="J102"/>
      <c r="K102"/>
    </row>
    <row r="103" spans="1:11">
      <c r="A103"/>
      <c r="B103"/>
      <c r="C103"/>
      <c r="D103"/>
      <c r="E103"/>
      <c r="F103"/>
      <c r="G103"/>
      <c r="H103"/>
      <c r="I103"/>
      <c r="J103"/>
      <c r="K103"/>
    </row>
    <row r="104" spans="1:11">
      <c r="A104"/>
      <c r="B104"/>
      <c r="C104"/>
      <c r="D104"/>
      <c r="E104"/>
      <c r="F104"/>
      <c r="G104"/>
      <c r="H104"/>
      <c r="I104"/>
      <c r="J104"/>
      <c r="K104"/>
    </row>
    <row r="105" spans="1:11">
      <c r="A105"/>
      <c r="B105"/>
      <c r="C105"/>
      <c r="D105"/>
      <c r="E105"/>
      <c r="F105"/>
      <c r="G105"/>
      <c r="H105"/>
      <c r="I105"/>
      <c r="J105"/>
      <c r="K105"/>
    </row>
    <row r="106" spans="1:11">
      <c r="A106"/>
      <c r="B106"/>
      <c r="C106"/>
      <c r="D106"/>
      <c r="E106"/>
      <c r="F106"/>
      <c r="G106"/>
      <c r="H106"/>
      <c r="I106"/>
      <c r="J106"/>
      <c r="K106"/>
    </row>
    <row r="107" spans="1:11">
      <c r="A107"/>
      <c r="B107"/>
      <c r="C107"/>
      <c r="D107"/>
      <c r="E107"/>
      <c r="F107"/>
      <c r="G107"/>
      <c r="H107"/>
      <c r="I107"/>
      <c r="J107"/>
      <c r="K107"/>
    </row>
    <row r="108" spans="1:11">
      <c r="A108"/>
      <c r="B108"/>
      <c r="C108"/>
      <c r="D108"/>
      <c r="E108"/>
      <c r="F108"/>
      <c r="G108"/>
      <c r="H108"/>
      <c r="I108"/>
      <c r="J108"/>
      <c r="K108"/>
    </row>
    <row r="109" spans="1:11">
      <c r="A109"/>
      <c r="B109"/>
      <c r="C109"/>
      <c r="D109"/>
      <c r="E109"/>
      <c r="F109"/>
      <c r="G109"/>
      <c r="H109"/>
      <c r="I109"/>
      <c r="J109"/>
      <c r="K109"/>
    </row>
    <row r="110" spans="1:11">
      <c r="A110"/>
      <c r="B110"/>
      <c r="C110"/>
      <c r="D110"/>
      <c r="E110"/>
      <c r="F110"/>
      <c r="G110"/>
      <c r="H110"/>
      <c r="I110"/>
      <c r="J110"/>
      <c r="K110"/>
    </row>
    <row r="111" spans="1:11">
      <c r="A111"/>
      <c r="B111"/>
      <c r="C111"/>
      <c r="D111"/>
      <c r="E111"/>
      <c r="F111"/>
      <c r="G111"/>
      <c r="H111"/>
      <c r="I111"/>
      <c r="J111"/>
      <c r="K111"/>
    </row>
    <row r="112" spans="1:11">
      <c r="A112"/>
      <c r="B112"/>
      <c r="C112"/>
      <c r="D112"/>
      <c r="E112"/>
      <c r="F112"/>
      <c r="G112"/>
      <c r="H112"/>
      <c r="I112"/>
      <c r="J112"/>
      <c r="K112"/>
    </row>
    <row r="113" spans="1:11">
      <c r="A113"/>
      <c r="B113"/>
      <c r="C113"/>
      <c r="D113"/>
      <c r="E113"/>
      <c r="F113"/>
      <c r="G113"/>
      <c r="H113"/>
      <c r="I113"/>
      <c r="J113"/>
      <c r="K113"/>
    </row>
    <row r="114" spans="1:11">
      <c r="A114"/>
      <c r="B114"/>
      <c r="C114"/>
      <c r="D114"/>
      <c r="E114"/>
      <c r="F114"/>
      <c r="G114"/>
      <c r="H114"/>
      <c r="I114"/>
      <c r="J114"/>
      <c r="K114"/>
    </row>
    <row r="115" spans="1:11">
      <c r="A115"/>
      <c r="B115"/>
      <c r="C115"/>
      <c r="D115"/>
      <c r="E115"/>
      <c r="F115"/>
      <c r="G115"/>
      <c r="H115"/>
      <c r="I115"/>
      <c r="J115"/>
      <c r="K115"/>
    </row>
    <row r="116" spans="1:11">
      <c r="A116"/>
      <c r="B116"/>
      <c r="C116"/>
      <c r="D116"/>
      <c r="E116"/>
      <c r="F116"/>
      <c r="G116"/>
      <c r="H116"/>
      <c r="I116"/>
      <c r="J116"/>
      <c r="K116"/>
    </row>
    <row r="117" spans="1:11">
      <c r="A117"/>
      <c r="B117"/>
      <c r="C117"/>
      <c r="D117"/>
      <c r="E117"/>
      <c r="F117"/>
      <c r="G117"/>
      <c r="H117"/>
      <c r="I117"/>
      <c r="J117"/>
      <c r="K117"/>
    </row>
    <row r="118" spans="1:11">
      <c r="A118"/>
      <c r="B118"/>
      <c r="C118"/>
      <c r="D118"/>
      <c r="E118"/>
      <c r="F118"/>
      <c r="G118"/>
      <c r="H118"/>
      <c r="I118"/>
      <c r="J118"/>
      <c r="K118"/>
    </row>
    <row r="119" spans="1:11">
      <c r="A119"/>
      <c r="B119"/>
      <c r="C119"/>
      <c r="D119"/>
      <c r="E119"/>
      <c r="F119"/>
      <c r="G119"/>
      <c r="H119"/>
      <c r="I119"/>
      <c r="J119"/>
      <c r="K119"/>
    </row>
    <row r="120" spans="1:11">
      <c r="A120"/>
      <c r="B120"/>
      <c r="C120"/>
      <c r="D120"/>
      <c r="E120"/>
      <c r="F120"/>
      <c r="G120"/>
      <c r="H120"/>
      <c r="I120"/>
      <c r="J120"/>
      <c r="K120"/>
    </row>
    <row r="121" spans="1:11">
      <c r="A121"/>
      <c r="B121"/>
      <c r="C121"/>
      <c r="D121"/>
      <c r="E121"/>
      <c r="F121"/>
      <c r="G121"/>
      <c r="H121"/>
      <c r="I121"/>
      <c r="J121"/>
      <c r="K121"/>
    </row>
    <row r="122" spans="1:11">
      <c r="A122"/>
      <c r="B122"/>
      <c r="C122"/>
      <c r="D122"/>
      <c r="E122"/>
      <c r="F122"/>
      <c r="G122"/>
      <c r="H122"/>
      <c r="I122"/>
      <c r="J122"/>
      <c r="K122"/>
    </row>
    <row r="123" spans="1:11">
      <c r="A123"/>
      <c r="B123"/>
      <c r="C123"/>
      <c r="D123"/>
      <c r="E123"/>
      <c r="F123"/>
      <c r="G123"/>
      <c r="H123"/>
      <c r="I123"/>
      <c r="J123"/>
      <c r="K123"/>
    </row>
    <row r="124" spans="1:11">
      <c r="A124"/>
      <c r="B124"/>
      <c r="C124"/>
      <c r="D124"/>
      <c r="E124"/>
      <c r="F124"/>
      <c r="G124"/>
      <c r="H124"/>
      <c r="I124"/>
      <c r="J124"/>
      <c r="K124"/>
    </row>
    <row r="125" spans="1:11">
      <c r="A125"/>
      <c r="B125"/>
      <c r="C125"/>
      <c r="D125"/>
      <c r="E125"/>
      <c r="F125"/>
      <c r="G125"/>
      <c r="H125"/>
      <c r="I125"/>
      <c r="J125"/>
      <c r="K125"/>
    </row>
    <row r="126" spans="1:11">
      <c r="A126"/>
      <c r="B126"/>
      <c r="C126"/>
      <c r="D126"/>
      <c r="E126"/>
      <c r="F126"/>
      <c r="G126"/>
      <c r="H126"/>
      <c r="I126"/>
      <c r="J126"/>
      <c r="K126"/>
    </row>
    <row r="127" spans="1:11">
      <c r="A127"/>
      <c r="B127"/>
      <c r="C127"/>
      <c r="D127"/>
      <c r="E127"/>
      <c r="F127"/>
      <c r="G127"/>
      <c r="H127"/>
      <c r="I127"/>
      <c r="J127"/>
      <c r="K127"/>
    </row>
    <row r="128" spans="1:11">
      <c r="A128"/>
      <c r="B128"/>
      <c r="C128"/>
      <c r="D128"/>
      <c r="E128"/>
      <c r="F128"/>
      <c r="G128"/>
      <c r="H128"/>
      <c r="I128"/>
      <c r="J128"/>
      <c r="K128"/>
    </row>
    <row r="129" spans="1:11">
      <c r="A129"/>
      <c r="B129"/>
      <c r="C129"/>
      <c r="D129"/>
      <c r="E129"/>
      <c r="F129"/>
      <c r="G129"/>
      <c r="H129"/>
      <c r="I129"/>
      <c r="J129"/>
      <c r="K129"/>
    </row>
    <row r="130" spans="1:11">
      <c r="A130"/>
      <c r="B130"/>
      <c r="C130"/>
      <c r="D130"/>
      <c r="E130"/>
      <c r="F130"/>
      <c r="G130"/>
      <c r="H130"/>
      <c r="I130"/>
      <c r="J130"/>
      <c r="K130"/>
    </row>
    <row r="131" spans="1:11">
      <c r="A131"/>
      <c r="B131"/>
      <c r="C131"/>
      <c r="D131"/>
      <c r="E131"/>
      <c r="F131"/>
      <c r="G131"/>
      <c r="H131"/>
      <c r="I131"/>
      <c r="J131"/>
      <c r="K131"/>
    </row>
    <row r="132" spans="1:11">
      <c r="A132"/>
      <c r="B132"/>
      <c r="C132"/>
      <c r="D132"/>
      <c r="E132"/>
      <c r="F132"/>
      <c r="G132"/>
      <c r="H132"/>
      <c r="I132"/>
      <c r="J132"/>
      <c r="K132"/>
    </row>
    <row r="133" spans="1:11">
      <c r="A133"/>
      <c r="B133"/>
      <c r="C133"/>
      <c r="D133"/>
      <c r="E133"/>
      <c r="F133"/>
      <c r="G133"/>
      <c r="H133"/>
      <c r="I133"/>
      <c r="J133"/>
      <c r="K133"/>
    </row>
    <row r="134" spans="1:11">
      <c r="A134"/>
      <c r="B134"/>
      <c r="C134"/>
      <c r="D134"/>
      <c r="E134"/>
      <c r="F134"/>
      <c r="G134"/>
      <c r="H134"/>
      <c r="I134"/>
      <c r="J134"/>
      <c r="K134"/>
    </row>
    <row r="135" spans="1:11">
      <c r="A135"/>
      <c r="B135"/>
      <c r="C135"/>
      <c r="D135"/>
      <c r="E135"/>
      <c r="F135"/>
      <c r="G135"/>
      <c r="H135"/>
      <c r="I135"/>
      <c r="J135"/>
      <c r="K135"/>
    </row>
    <row r="136" spans="1:11">
      <c r="A136"/>
      <c r="B136"/>
      <c r="C136"/>
      <c r="D136"/>
      <c r="E136"/>
      <c r="F136"/>
      <c r="G136"/>
      <c r="H136"/>
      <c r="I136"/>
      <c r="J136"/>
      <c r="K136"/>
    </row>
    <row r="137" spans="1:11">
      <c r="A137"/>
      <c r="B137"/>
      <c r="C137"/>
      <c r="D137"/>
      <c r="E137"/>
      <c r="F137"/>
      <c r="G137"/>
      <c r="H137"/>
      <c r="I137"/>
      <c r="J137"/>
      <c r="K137"/>
    </row>
    <row r="138" spans="1:11">
      <c r="A138"/>
      <c r="B138"/>
      <c r="C138"/>
      <c r="D138"/>
      <c r="E138"/>
      <c r="F138"/>
      <c r="G138"/>
      <c r="H138"/>
      <c r="I138"/>
      <c r="J138"/>
      <c r="K138"/>
    </row>
    <row r="139" spans="1:11">
      <c r="A139"/>
      <c r="B139"/>
      <c r="C139"/>
      <c r="D139"/>
      <c r="E139"/>
      <c r="F139"/>
      <c r="G139"/>
      <c r="H139"/>
      <c r="I139"/>
      <c r="J139"/>
      <c r="K139"/>
    </row>
    <row r="140" spans="1:11">
      <c r="A140"/>
      <c r="B140"/>
      <c r="C140"/>
      <c r="D140"/>
      <c r="E140"/>
      <c r="F140"/>
      <c r="G140"/>
      <c r="H140"/>
      <c r="I140"/>
      <c r="J140"/>
      <c r="K140"/>
    </row>
    <row r="141" spans="1:11">
      <c r="A141"/>
      <c r="B141"/>
      <c r="C141"/>
      <c r="D141"/>
      <c r="E141"/>
      <c r="F141"/>
      <c r="G141"/>
      <c r="H141"/>
      <c r="I141"/>
      <c r="J141"/>
      <c r="K141"/>
    </row>
    <row r="142" spans="1:11">
      <c r="A142"/>
      <c r="B142"/>
      <c r="C142"/>
      <c r="D142"/>
      <c r="E142"/>
      <c r="F142"/>
      <c r="G142"/>
      <c r="H142"/>
      <c r="I142"/>
      <c r="J142"/>
      <c r="K142"/>
    </row>
    <row r="143" spans="1:11">
      <c r="A143"/>
      <c r="B143"/>
      <c r="C143"/>
      <c r="D143"/>
      <c r="E143"/>
      <c r="F143"/>
      <c r="G143"/>
      <c r="H143"/>
      <c r="I143"/>
      <c r="J143"/>
      <c r="K143"/>
    </row>
    <row r="144" spans="1:11">
      <c r="A144"/>
      <c r="B144"/>
      <c r="C144"/>
      <c r="D144"/>
      <c r="E144"/>
      <c r="F144"/>
      <c r="G144"/>
      <c r="H144"/>
      <c r="I144"/>
      <c r="J144"/>
      <c r="K144"/>
    </row>
    <row r="145" spans="1:11">
      <c r="A145"/>
      <c r="B145"/>
      <c r="C145"/>
      <c r="D145"/>
      <c r="E145"/>
      <c r="F145"/>
      <c r="G145"/>
      <c r="H145"/>
      <c r="I145"/>
      <c r="J145"/>
      <c r="K145"/>
    </row>
    <row r="146" spans="1:11">
      <c r="A146"/>
      <c r="B146"/>
      <c r="C146"/>
      <c r="D146"/>
      <c r="E146"/>
      <c r="F146"/>
      <c r="G146"/>
      <c r="H146"/>
      <c r="I146"/>
      <c r="J146"/>
      <c r="K146"/>
    </row>
    <row r="147" spans="1:11">
      <c r="A147"/>
      <c r="B147"/>
      <c r="C147"/>
      <c r="D147"/>
      <c r="E147"/>
      <c r="F147"/>
      <c r="G147"/>
      <c r="H147"/>
      <c r="I147"/>
      <c r="J147"/>
      <c r="K147"/>
    </row>
    <row r="148" spans="1:11">
      <c r="A148"/>
      <c r="B148"/>
      <c r="C148"/>
      <c r="D148"/>
      <c r="E148"/>
      <c r="F148"/>
      <c r="G148"/>
      <c r="H148"/>
      <c r="I148"/>
      <c r="J148"/>
      <c r="K148"/>
    </row>
    <row r="149" spans="1:11">
      <c r="A149"/>
      <c r="B149"/>
      <c r="C149"/>
      <c r="D149"/>
      <c r="E149"/>
      <c r="F149"/>
      <c r="G149"/>
      <c r="H149"/>
      <c r="I149"/>
      <c r="J149"/>
      <c r="K149"/>
    </row>
    <row r="150" spans="1:11">
      <c r="A150"/>
      <c r="B150"/>
      <c r="C150"/>
      <c r="D150"/>
      <c r="E150"/>
      <c r="F150"/>
      <c r="G150"/>
      <c r="H150"/>
      <c r="I150"/>
      <c r="J150"/>
      <c r="K150"/>
    </row>
    <row r="151" spans="1:11">
      <c r="A151"/>
      <c r="B151"/>
      <c r="C151"/>
      <c r="D151"/>
      <c r="E151"/>
      <c r="F151"/>
      <c r="G151"/>
      <c r="H151"/>
      <c r="I151"/>
      <c r="J151"/>
      <c r="K151"/>
    </row>
    <row r="152" spans="1:11">
      <c r="A152"/>
      <c r="B152"/>
      <c r="C152"/>
      <c r="D152"/>
      <c r="E152"/>
      <c r="F152"/>
      <c r="G152"/>
      <c r="H152"/>
      <c r="I152"/>
      <c r="J152"/>
      <c r="K152"/>
    </row>
    <row r="153" spans="1:11">
      <c r="A153"/>
      <c r="B153"/>
      <c r="C153"/>
      <c r="D153"/>
      <c r="E153"/>
      <c r="F153"/>
      <c r="G153"/>
      <c r="H153"/>
      <c r="I153"/>
      <c r="J153"/>
      <c r="K153"/>
    </row>
    <row r="154" spans="1:11">
      <c r="A154"/>
      <c r="B154"/>
      <c r="C154"/>
      <c r="D154"/>
      <c r="E154"/>
      <c r="F154"/>
      <c r="G154"/>
      <c r="H154"/>
      <c r="I154"/>
      <c r="J154"/>
      <c r="K154"/>
    </row>
    <row r="155" spans="1:11">
      <c r="A155"/>
      <c r="B155"/>
      <c r="C155"/>
      <c r="D155"/>
      <c r="E155"/>
      <c r="F155"/>
      <c r="G155"/>
      <c r="H155"/>
      <c r="I155"/>
      <c r="J155"/>
      <c r="K155"/>
    </row>
    <row r="156" spans="1:11">
      <c r="A156"/>
      <c r="B156"/>
      <c r="C156"/>
      <c r="D156"/>
      <c r="E156"/>
      <c r="F156"/>
      <c r="G156"/>
      <c r="H156"/>
      <c r="I156"/>
      <c r="J156"/>
      <c r="K156"/>
    </row>
    <row r="157" spans="1:11">
      <c r="A157"/>
      <c r="B157"/>
      <c r="C157"/>
      <c r="D157"/>
      <c r="E157"/>
      <c r="F157"/>
      <c r="G157"/>
      <c r="H157"/>
      <c r="I157"/>
      <c r="J157"/>
      <c r="K157"/>
    </row>
    <row r="158" spans="1:11">
      <c r="A158"/>
      <c r="B158"/>
      <c r="C158"/>
      <c r="D158"/>
      <c r="E158"/>
      <c r="F158"/>
      <c r="G158"/>
      <c r="H158"/>
      <c r="I158"/>
      <c r="J158"/>
      <c r="K158"/>
    </row>
    <row r="159" spans="1:11">
      <c r="A159"/>
      <c r="B159"/>
      <c r="C159"/>
      <c r="D159"/>
      <c r="E159"/>
      <c r="F159"/>
      <c r="G159"/>
      <c r="H159"/>
      <c r="I159"/>
      <c r="J159"/>
      <c r="K159"/>
    </row>
    <row r="160" spans="1:11">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sheetData>
  <autoFilter ref="A2:K11">
    <extLst/>
  </autoFilter>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L7"/>
  <sheetViews>
    <sheetView workbookViewId="0">
      <selection activeCell="A7" sqref="A7:L7"/>
    </sheetView>
  </sheetViews>
  <sheetFormatPr defaultColWidth="9" defaultRowHeight="13.5" outlineLevelRow="6"/>
  <cols>
    <col min="1" max="1" width="9" style="39"/>
    <col min="2" max="2" width="31.375" style="39" customWidth="1"/>
    <col min="3" max="3" width="9" style="39"/>
    <col min="4" max="4" width="10.125" style="39" customWidth="1"/>
    <col min="5" max="5" width="19.375" style="39" customWidth="1"/>
    <col min="6" max="8" width="9" style="39"/>
    <col min="9" max="9" width="23.375" style="39" customWidth="1"/>
    <col min="10" max="10" width="9" style="39"/>
    <col min="11" max="11" width="13.125" style="39" customWidth="1"/>
    <col min="12" max="12" width="19.875" style="39" customWidth="1"/>
    <col min="13" max="16384" width="9" style="39"/>
  </cols>
  <sheetData>
    <row r="1" ht="22" customHeight="1" spans="1:12">
      <c r="A1" s="131" t="s">
        <v>49</v>
      </c>
      <c r="B1" s="131"/>
      <c r="C1" s="131"/>
      <c r="D1" s="131"/>
      <c r="E1" s="131"/>
      <c r="F1" s="131"/>
      <c r="G1" s="131"/>
      <c r="H1" s="131"/>
      <c r="I1" s="131"/>
      <c r="J1" s="131"/>
      <c r="K1" s="131"/>
      <c r="L1" s="131"/>
    </row>
    <row r="2" ht="25" customHeight="1" spans="1:12">
      <c r="A2" s="132" t="s">
        <v>1</v>
      </c>
      <c r="B2" s="133" t="s">
        <v>50</v>
      </c>
      <c r="C2" s="134" t="s">
        <v>51</v>
      </c>
      <c r="D2" s="135" t="s">
        <v>52</v>
      </c>
      <c r="E2" s="135" t="s">
        <v>53</v>
      </c>
      <c r="F2" s="135" t="s">
        <v>54</v>
      </c>
      <c r="G2" s="135" t="s">
        <v>55</v>
      </c>
      <c r="H2" s="135" t="s">
        <v>56</v>
      </c>
      <c r="I2" s="135" t="s">
        <v>57</v>
      </c>
      <c r="J2" s="135" t="s">
        <v>58</v>
      </c>
      <c r="K2" s="138" t="s">
        <v>59</v>
      </c>
      <c r="L2" s="132" t="s">
        <v>60</v>
      </c>
    </row>
    <row r="3" ht="25" customHeight="1" spans="1:12">
      <c r="A3" s="132">
        <v>1</v>
      </c>
      <c r="B3" s="132">
        <v>2</v>
      </c>
      <c r="C3" s="132">
        <v>3</v>
      </c>
      <c r="D3" s="132">
        <v>4</v>
      </c>
      <c r="E3" s="132">
        <v>5</v>
      </c>
      <c r="F3" s="132">
        <v>6</v>
      </c>
      <c r="G3" s="132">
        <v>7</v>
      </c>
      <c r="H3" s="132">
        <v>8</v>
      </c>
      <c r="I3" s="132">
        <v>9</v>
      </c>
      <c r="J3" s="132">
        <v>10</v>
      </c>
      <c r="K3" s="132">
        <v>11</v>
      </c>
      <c r="L3" s="132">
        <v>12</v>
      </c>
    </row>
    <row r="4" ht="51" customHeight="1" spans="1:12">
      <c r="A4" s="49" t="s">
        <v>29</v>
      </c>
      <c r="B4" s="136" t="s">
        <v>30</v>
      </c>
      <c r="C4" s="130" t="s">
        <v>61</v>
      </c>
      <c r="D4" s="137" t="s">
        <v>62</v>
      </c>
      <c r="E4" s="39" t="s">
        <v>63</v>
      </c>
      <c r="F4" s="39" t="s">
        <v>46</v>
      </c>
      <c r="G4" s="39" t="s">
        <v>46</v>
      </c>
      <c r="H4" s="39" t="s">
        <v>64</v>
      </c>
      <c r="I4" s="39" t="s">
        <v>65</v>
      </c>
      <c r="J4" s="39">
        <v>1</v>
      </c>
      <c r="K4" s="139">
        <v>44287</v>
      </c>
      <c r="L4" s="39" t="s">
        <v>66</v>
      </c>
    </row>
    <row r="5" ht="27" spans="1:12">
      <c r="A5" s="49" t="s">
        <v>12</v>
      </c>
      <c r="B5" s="49" t="s">
        <v>13</v>
      </c>
      <c r="C5" s="130" t="s">
        <v>61</v>
      </c>
      <c r="D5" s="137" t="s">
        <v>62</v>
      </c>
      <c r="E5" s="39" t="s">
        <v>63</v>
      </c>
      <c r="F5" s="39" t="s">
        <v>46</v>
      </c>
      <c r="G5" s="39" t="s">
        <v>46</v>
      </c>
      <c r="H5" s="39" t="s">
        <v>64</v>
      </c>
      <c r="I5" s="39" t="s">
        <v>65</v>
      </c>
      <c r="J5" s="39">
        <v>1</v>
      </c>
      <c r="K5" s="139">
        <v>44328</v>
      </c>
      <c r="L5" s="39" t="s">
        <v>67</v>
      </c>
    </row>
    <row r="6" ht="25.5" spans="1:12">
      <c r="A6" s="39" t="s">
        <v>37</v>
      </c>
      <c r="B6" s="140" t="s">
        <v>38</v>
      </c>
      <c r="C6" s="130" t="s">
        <v>61</v>
      </c>
      <c r="D6" s="137" t="s">
        <v>62</v>
      </c>
      <c r="E6" s="76" t="s">
        <v>68</v>
      </c>
      <c r="F6" s="39" t="s">
        <v>46</v>
      </c>
      <c r="G6" s="39" t="s">
        <v>46</v>
      </c>
      <c r="H6" s="39" t="s">
        <v>69</v>
      </c>
      <c r="I6" s="141" t="s">
        <v>70</v>
      </c>
      <c r="J6" s="39">
        <v>1</v>
      </c>
      <c r="K6" s="139">
        <v>44447</v>
      </c>
      <c r="L6" s="39" t="s">
        <v>71</v>
      </c>
    </row>
    <row r="7" ht="27" spans="1:12">
      <c r="A7" s="39" t="s">
        <v>43</v>
      </c>
      <c r="B7" s="49" t="s">
        <v>44</v>
      </c>
      <c r="C7" s="130" t="s">
        <v>61</v>
      </c>
      <c r="D7" s="137" t="s">
        <v>62</v>
      </c>
      <c r="E7" s="39" t="s">
        <v>72</v>
      </c>
      <c r="F7" s="39" t="s">
        <v>46</v>
      </c>
      <c r="G7" s="39" t="s">
        <v>46</v>
      </c>
      <c r="H7" s="39" t="s">
        <v>73</v>
      </c>
      <c r="I7" s="39" t="s">
        <v>74</v>
      </c>
      <c r="J7" s="39">
        <v>1</v>
      </c>
      <c r="K7" s="139">
        <v>44015</v>
      </c>
      <c r="L7" s="39" t="s">
        <v>75</v>
      </c>
    </row>
  </sheetData>
  <mergeCells count="1">
    <mergeCell ref="A1:L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L6"/>
  <sheetViews>
    <sheetView workbookViewId="0">
      <selection activeCell="A6" sqref="A6:L6"/>
    </sheetView>
  </sheetViews>
  <sheetFormatPr defaultColWidth="9" defaultRowHeight="13.5" outlineLevelRow="5"/>
  <cols>
    <col min="2" max="2" width="36.5" customWidth="1"/>
    <col min="4" max="4" width="12.5" customWidth="1"/>
    <col min="5" max="5" width="17.125" customWidth="1"/>
    <col min="11" max="11" width="11.875" customWidth="1"/>
    <col min="12" max="12" width="25.375" customWidth="1"/>
  </cols>
  <sheetData>
    <row r="1" ht="18.75" spans="1:12">
      <c r="A1" s="131" t="s">
        <v>49</v>
      </c>
      <c r="B1" s="131"/>
      <c r="C1" s="131"/>
      <c r="D1" s="131"/>
      <c r="E1" s="131"/>
      <c r="F1" s="131"/>
      <c r="G1" s="131"/>
      <c r="H1" s="131"/>
      <c r="I1" s="131"/>
      <c r="J1" s="131"/>
      <c r="K1" s="131"/>
      <c r="L1" s="131"/>
    </row>
    <row r="2" ht="25.5" spans="1:12">
      <c r="A2" s="132" t="s">
        <v>1</v>
      </c>
      <c r="B2" s="133" t="s">
        <v>50</v>
      </c>
      <c r="C2" s="134" t="s">
        <v>51</v>
      </c>
      <c r="D2" s="135" t="s">
        <v>52</v>
      </c>
      <c r="E2" s="135" t="s">
        <v>53</v>
      </c>
      <c r="F2" s="135" t="s">
        <v>54</v>
      </c>
      <c r="G2" s="135" t="s">
        <v>55</v>
      </c>
      <c r="H2" s="135" t="s">
        <v>56</v>
      </c>
      <c r="I2" s="135" t="s">
        <v>57</v>
      </c>
      <c r="J2" s="135" t="s">
        <v>58</v>
      </c>
      <c r="K2" s="138" t="s">
        <v>59</v>
      </c>
      <c r="L2" s="132" t="s">
        <v>60</v>
      </c>
    </row>
    <row r="3" spans="1:12">
      <c r="A3" s="132">
        <v>1</v>
      </c>
      <c r="B3" s="132">
        <v>2</v>
      </c>
      <c r="C3" s="132">
        <v>3</v>
      </c>
      <c r="D3" s="132">
        <v>4</v>
      </c>
      <c r="E3" s="132">
        <v>5</v>
      </c>
      <c r="F3" s="132">
        <v>6</v>
      </c>
      <c r="G3" s="132">
        <v>7</v>
      </c>
      <c r="H3" s="132">
        <v>8</v>
      </c>
      <c r="I3" s="132">
        <v>9</v>
      </c>
      <c r="J3" s="132">
        <v>10</v>
      </c>
      <c r="K3" s="132">
        <v>11</v>
      </c>
      <c r="L3" s="132">
        <v>12</v>
      </c>
    </row>
    <row r="4" ht="58" customHeight="1" spans="1:12">
      <c r="A4" s="49" t="s">
        <v>29</v>
      </c>
      <c r="B4" s="136" t="s">
        <v>30</v>
      </c>
      <c r="C4" s="130" t="s">
        <v>61</v>
      </c>
      <c r="D4" s="137" t="s">
        <v>62</v>
      </c>
      <c r="E4" s="39" t="s">
        <v>63</v>
      </c>
      <c r="F4" s="39" t="s">
        <v>46</v>
      </c>
      <c r="G4" s="39" t="s">
        <v>46</v>
      </c>
      <c r="H4" s="39" t="s">
        <v>64</v>
      </c>
      <c r="I4" s="39" t="s">
        <v>65</v>
      </c>
      <c r="J4" s="39">
        <v>1</v>
      </c>
      <c r="K4" s="139">
        <v>44287</v>
      </c>
      <c r="L4" s="39" t="s">
        <v>66</v>
      </c>
    </row>
    <row r="5" ht="47" customHeight="1" spans="1:12">
      <c r="A5" s="49" t="s">
        <v>12</v>
      </c>
      <c r="B5" s="49" t="s">
        <v>13</v>
      </c>
      <c r="C5" s="130" t="s">
        <v>61</v>
      </c>
      <c r="D5" s="137" t="s">
        <v>62</v>
      </c>
      <c r="E5" s="39" t="s">
        <v>63</v>
      </c>
      <c r="F5" s="39" t="s">
        <v>46</v>
      </c>
      <c r="G5" s="39" t="s">
        <v>46</v>
      </c>
      <c r="H5" s="39" t="s">
        <v>64</v>
      </c>
      <c r="I5" s="39" t="s">
        <v>65</v>
      </c>
      <c r="J5" s="39">
        <v>1</v>
      </c>
      <c r="K5" s="139">
        <v>44328</v>
      </c>
      <c r="L5" s="39" t="s">
        <v>67</v>
      </c>
    </row>
    <row r="6" ht="27" spans="1:12">
      <c r="A6" s="39" t="s">
        <v>43</v>
      </c>
      <c r="B6" s="49" t="s">
        <v>44</v>
      </c>
      <c r="C6" s="130" t="s">
        <v>61</v>
      </c>
      <c r="D6" s="137" t="s">
        <v>62</v>
      </c>
      <c r="E6" s="39" t="s">
        <v>72</v>
      </c>
      <c r="F6" s="39" t="s">
        <v>46</v>
      </c>
      <c r="G6" s="39" t="s">
        <v>46</v>
      </c>
      <c r="H6" s="39" t="s">
        <v>73</v>
      </c>
      <c r="I6" s="39" t="s">
        <v>74</v>
      </c>
      <c r="J6" s="39">
        <v>1</v>
      </c>
      <c r="K6" s="139">
        <v>44015</v>
      </c>
      <c r="L6" s="39" t="s">
        <v>75</v>
      </c>
    </row>
  </sheetData>
  <mergeCells count="1">
    <mergeCell ref="A1:L1"/>
  </mergeCell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U64"/>
  <sheetViews>
    <sheetView view="pageBreakPreview" zoomScaleNormal="100" workbookViewId="0">
      <pane xSplit="16" ySplit="2" topLeftCell="Q15" activePane="bottomRight" state="frozen"/>
      <selection/>
      <selection pane="topRight"/>
      <selection pane="bottomLeft"/>
      <selection pane="bottomRight" activeCell="R2" sqref="R2"/>
    </sheetView>
  </sheetViews>
  <sheetFormatPr defaultColWidth="9" defaultRowHeight="13.5"/>
  <cols>
    <col min="1" max="1" width="3.5" style="49" customWidth="1"/>
    <col min="2" max="2" width="6.5" style="49" customWidth="1"/>
    <col min="3" max="3" width="11.125" style="49" customWidth="1"/>
    <col min="4" max="10" width="6.625" style="49" customWidth="1"/>
    <col min="11" max="11" width="6.125" style="49" customWidth="1"/>
    <col min="12" max="12" width="7.5" style="49" customWidth="1"/>
    <col min="13" max="13" width="6.625" style="49" customWidth="1"/>
    <col min="14" max="16" width="7.625" style="49" customWidth="1"/>
    <col min="17" max="17" width="13.375" style="49" customWidth="1"/>
    <col min="18" max="18" width="12.875" style="49" customWidth="1"/>
    <col min="19" max="19" width="13.75" style="49"/>
    <col min="20" max="20" width="11.375" style="49"/>
    <col min="21" max="21" width="9" style="49"/>
    <col min="22" max="22" width="11.625" style="49" customWidth="1"/>
    <col min="23" max="25" width="9" style="49"/>
    <col min="26" max="27" width="7.75" style="49" customWidth="1"/>
    <col min="28" max="16384" width="9" style="49"/>
  </cols>
  <sheetData>
    <row r="1" ht="18.75" spans="1:25">
      <c r="A1" s="50" t="s">
        <v>76</v>
      </c>
      <c r="B1" s="50"/>
      <c r="C1" s="50"/>
      <c r="D1" s="50"/>
      <c r="E1" s="50"/>
      <c r="F1" s="50"/>
      <c r="G1" s="50"/>
      <c r="H1" s="50"/>
      <c r="I1" s="50"/>
      <c r="J1" s="50"/>
      <c r="K1" s="50"/>
      <c r="L1" s="50"/>
      <c r="M1" s="50"/>
      <c r="N1" s="50"/>
      <c r="O1" s="50"/>
      <c r="P1" s="50"/>
      <c r="Q1" s="109" t="s">
        <v>77</v>
      </c>
      <c r="R1" s="110">
        <f>石子检测报告!H11</f>
        <v>44015</v>
      </c>
      <c r="S1" s="111" t="s">
        <v>78</v>
      </c>
      <c r="T1" s="112">
        <v>25</v>
      </c>
      <c r="U1" s="113" t="s">
        <v>79</v>
      </c>
      <c r="V1" s="114" t="s">
        <v>80</v>
      </c>
      <c r="W1" s="115" t="s">
        <v>81</v>
      </c>
      <c r="X1" s="115"/>
      <c r="Y1" s="127" t="s">
        <v>82</v>
      </c>
    </row>
    <row r="2" ht="22.5" spans="1:21">
      <c r="A2" s="51" t="s">
        <v>83</v>
      </c>
      <c r="B2" s="51"/>
      <c r="C2" s="51"/>
      <c r="D2" s="51"/>
      <c r="E2" s="51"/>
      <c r="F2" s="51"/>
      <c r="G2" s="51"/>
      <c r="H2" s="51"/>
      <c r="I2" s="51"/>
      <c r="J2" s="51"/>
      <c r="K2" s="51"/>
      <c r="L2" s="51"/>
      <c r="M2" s="51"/>
      <c r="N2" s="51"/>
      <c r="O2" s="51"/>
      <c r="P2" s="51"/>
      <c r="Q2" s="116" t="s">
        <v>84</v>
      </c>
      <c r="R2" s="117">
        <f>石子检测报告!H12</f>
        <v>44019</v>
      </c>
      <c r="S2" s="111" t="s">
        <v>85</v>
      </c>
      <c r="T2" s="112">
        <v>20</v>
      </c>
      <c r="U2" s="113" t="s">
        <v>79</v>
      </c>
    </row>
    <row r="3" spans="12:47">
      <c r="L3" s="49" t="s">
        <v>86</v>
      </c>
      <c r="Q3" s="69" t="s">
        <v>50</v>
      </c>
      <c r="R3" s="10" t="s">
        <v>87</v>
      </c>
      <c r="S3" s="10"/>
      <c r="T3" s="10"/>
      <c r="U3" s="10"/>
      <c r="V3" s="10"/>
      <c r="W3" s="10" t="s">
        <v>88</v>
      </c>
      <c r="X3" s="10"/>
      <c r="Y3" s="10"/>
      <c r="Z3" s="10"/>
      <c r="AA3" s="10"/>
      <c r="AB3" s="10"/>
      <c r="AC3" s="10"/>
      <c r="AD3" s="128"/>
      <c r="AE3" s="128"/>
      <c r="AF3" s="128"/>
      <c r="AG3" s="128"/>
      <c r="AH3" s="130"/>
      <c r="AI3" s="130"/>
      <c r="AJ3" s="128"/>
      <c r="AK3" s="128"/>
      <c r="AL3" s="128"/>
      <c r="AM3" s="128"/>
      <c r="AN3" s="128"/>
      <c r="AO3" s="128"/>
      <c r="AP3" s="128"/>
      <c r="AQ3" s="128"/>
      <c r="AR3" s="128"/>
      <c r="AS3" s="39"/>
      <c r="AT3" s="39"/>
      <c r="AU3" s="39"/>
    </row>
    <row r="4" ht="22" customHeight="1" spans="1:32">
      <c r="A4" s="22" t="s">
        <v>60</v>
      </c>
      <c r="B4" s="22"/>
      <c r="C4" s="52" t="str">
        <f>W1&amp;Y1</f>
        <v>150504-2020000015</v>
      </c>
      <c r="D4" s="52"/>
      <c r="E4" s="52"/>
      <c r="F4" s="52"/>
      <c r="G4" s="52"/>
      <c r="H4" s="52"/>
      <c r="I4" s="52"/>
      <c r="J4" s="52"/>
      <c r="K4" s="52"/>
      <c r="L4" s="52"/>
      <c r="M4" s="52"/>
      <c r="N4" s="52"/>
      <c r="O4" s="55"/>
      <c r="P4" s="83"/>
      <c r="Q4" s="79"/>
      <c r="R4" s="118" t="s">
        <v>89</v>
      </c>
      <c r="S4" s="118" t="s">
        <v>90</v>
      </c>
      <c r="T4" s="118" t="s">
        <v>91</v>
      </c>
      <c r="U4" s="118" t="s">
        <v>92</v>
      </c>
      <c r="V4" s="118" t="s">
        <v>93</v>
      </c>
      <c r="W4" s="118" t="s">
        <v>94</v>
      </c>
      <c r="X4" s="118" t="s">
        <v>95</v>
      </c>
      <c r="Y4" s="118" t="s">
        <v>96</v>
      </c>
      <c r="Z4" s="118" t="s">
        <v>97</v>
      </c>
      <c r="AA4" s="118" t="s">
        <v>98</v>
      </c>
      <c r="AB4" s="118" t="s">
        <v>99</v>
      </c>
      <c r="AC4" s="118" t="s">
        <v>100</v>
      </c>
      <c r="AD4" s="129"/>
      <c r="AE4" s="129"/>
      <c r="AF4" s="129"/>
    </row>
    <row r="5" ht="30" customHeight="1" spans="1:29">
      <c r="A5" s="22" t="s">
        <v>101</v>
      </c>
      <c r="B5" s="22"/>
      <c r="C5" s="53" t="s">
        <v>102</v>
      </c>
      <c r="D5" s="54"/>
      <c r="E5" s="55" t="s">
        <v>91</v>
      </c>
      <c r="F5" s="56"/>
      <c r="G5" s="57" t="s">
        <v>103</v>
      </c>
      <c r="H5" s="22" t="s">
        <v>59</v>
      </c>
      <c r="I5" s="22"/>
      <c r="J5" s="52">
        <f>YEAR(R1)</f>
        <v>2020</v>
      </c>
      <c r="K5" s="22" t="s">
        <v>104</v>
      </c>
      <c r="L5" s="52">
        <f>MONTH(R1)</f>
        <v>7</v>
      </c>
      <c r="M5" s="22" t="s">
        <v>105</v>
      </c>
      <c r="N5" s="52">
        <f>DAY(R1)</f>
        <v>3</v>
      </c>
      <c r="O5" s="70" t="s">
        <v>106</v>
      </c>
      <c r="P5" s="70"/>
      <c r="Q5" s="22" t="s">
        <v>107</v>
      </c>
      <c r="R5" s="119">
        <v>2000</v>
      </c>
      <c r="S5" s="119">
        <v>2000</v>
      </c>
      <c r="T5" s="119">
        <v>2000</v>
      </c>
      <c r="U5" s="119">
        <v>3000</v>
      </c>
      <c r="V5" s="119">
        <v>4000</v>
      </c>
      <c r="W5" s="119">
        <v>2000</v>
      </c>
      <c r="X5" s="119">
        <v>2000</v>
      </c>
      <c r="Y5" s="119">
        <v>2000</v>
      </c>
      <c r="Z5" s="119">
        <v>2000</v>
      </c>
      <c r="AA5" s="22">
        <v>3000</v>
      </c>
      <c r="AB5" s="22">
        <v>4000</v>
      </c>
      <c r="AC5" s="22">
        <v>6000</v>
      </c>
    </row>
    <row r="6" ht="25" customHeight="1" spans="1:32">
      <c r="A6" s="22" t="s">
        <v>108</v>
      </c>
      <c r="B6" s="22"/>
      <c r="C6" s="58" t="s">
        <v>109</v>
      </c>
      <c r="D6" s="58" t="s">
        <v>110</v>
      </c>
      <c r="E6" s="58"/>
      <c r="F6" s="59" t="s">
        <v>111</v>
      </c>
      <c r="G6" s="60"/>
      <c r="H6" s="61" t="s">
        <v>112</v>
      </c>
      <c r="I6" s="84"/>
      <c r="J6" s="84"/>
      <c r="K6" s="84"/>
      <c r="L6" s="84"/>
      <c r="M6" s="84"/>
      <c r="N6" s="84"/>
      <c r="O6" s="84"/>
      <c r="P6" s="84"/>
      <c r="Q6" s="22" t="s">
        <v>113</v>
      </c>
      <c r="R6" s="98">
        <v>10.01</v>
      </c>
      <c r="S6" s="98">
        <v>10.01</v>
      </c>
      <c r="T6" s="98">
        <v>10.01</v>
      </c>
      <c r="U6" s="98">
        <v>20</v>
      </c>
      <c r="V6" s="98">
        <v>20</v>
      </c>
      <c r="W6" s="98">
        <v>10.01</v>
      </c>
      <c r="X6" s="98">
        <v>10.01</v>
      </c>
      <c r="Y6" s="98">
        <v>10.01</v>
      </c>
      <c r="Z6" s="98">
        <v>10.01</v>
      </c>
      <c r="AA6" s="98">
        <v>20</v>
      </c>
      <c r="AB6" s="98">
        <v>20</v>
      </c>
      <c r="AC6" s="98">
        <v>30.02</v>
      </c>
      <c r="AD6" s="122"/>
      <c r="AE6" s="122"/>
      <c r="AF6" s="122"/>
    </row>
    <row r="7" ht="25" customHeight="1" spans="1:29">
      <c r="A7" s="22" t="s">
        <v>114</v>
      </c>
      <c r="B7" s="22"/>
      <c r="C7" s="11" t="s">
        <v>115</v>
      </c>
      <c r="D7" s="11"/>
      <c r="E7" s="11"/>
      <c r="F7" s="11"/>
      <c r="G7" s="11"/>
      <c r="H7" s="11"/>
      <c r="I7" s="11"/>
      <c r="J7" s="11"/>
      <c r="K7" s="11"/>
      <c r="L7" s="11"/>
      <c r="M7" s="11"/>
      <c r="N7" s="11"/>
      <c r="O7" s="85"/>
      <c r="P7" s="85"/>
      <c r="Q7" s="22" t="s">
        <v>116</v>
      </c>
      <c r="R7" s="22">
        <v>1000</v>
      </c>
      <c r="S7" s="22">
        <v>2000</v>
      </c>
      <c r="T7" s="22">
        <v>3000</v>
      </c>
      <c r="U7" s="22">
        <v>5000</v>
      </c>
      <c r="V7" s="22">
        <v>10000</v>
      </c>
      <c r="W7" s="22">
        <v>300</v>
      </c>
      <c r="X7" s="22">
        <v>1000</v>
      </c>
      <c r="Y7" s="22">
        <v>2000</v>
      </c>
      <c r="Z7" s="22">
        <v>3000</v>
      </c>
      <c r="AA7" s="22">
        <v>5000</v>
      </c>
      <c r="AB7" s="22">
        <v>10000</v>
      </c>
      <c r="AC7" s="22">
        <v>10000</v>
      </c>
    </row>
    <row r="8" ht="25" customHeight="1" spans="1:29">
      <c r="A8" s="62" t="s">
        <v>117</v>
      </c>
      <c r="B8" s="22"/>
      <c r="C8" s="22" t="s">
        <v>118</v>
      </c>
      <c r="D8" s="52">
        <f>YEAR(R2)</f>
        <v>2020</v>
      </c>
      <c r="E8" s="22" t="s">
        <v>104</v>
      </c>
      <c r="F8" s="52">
        <f>MONTH(R2)</f>
        <v>7</v>
      </c>
      <c r="G8" s="22" t="s">
        <v>105</v>
      </c>
      <c r="H8" s="52">
        <f>DAY(R2)</f>
        <v>7</v>
      </c>
      <c r="I8" s="86" t="s">
        <v>106</v>
      </c>
      <c r="J8" s="87"/>
      <c r="K8" s="88" t="s">
        <v>119</v>
      </c>
      <c r="L8" s="71"/>
      <c r="M8" s="22" t="s">
        <v>120</v>
      </c>
      <c r="N8" s="89">
        <f>T1</f>
        <v>25</v>
      </c>
      <c r="O8" s="90" t="s">
        <v>79</v>
      </c>
      <c r="P8" s="90"/>
      <c r="Q8" s="22" t="s">
        <v>121</v>
      </c>
      <c r="R8" s="22">
        <v>2000</v>
      </c>
      <c r="S8" s="22">
        <v>6000</v>
      </c>
      <c r="T8" s="22">
        <v>6000</v>
      </c>
      <c r="U8" s="22">
        <v>10000</v>
      </c>
      <c r="V8" s="22">
        <v>10000</v>
      </c>
      <c r="W8" s="22">
        <v>2000</v>
      </c>
      <c r="X8" s="22">
        <v>2000</v>
      </c>
      <c r="Y8" s="22">
        <v>6000</v>
      </c>
      <c r="Z8" s="22">
        <v>6000</v>
      </c>
      <c r="AA8" s="22">
        <v>10000</v>
      </c>
      <c r="AB8" s="22">
        <v>10000</v>
      </c>
      <c r="AC8" s="22">
        <v>20000</v>
      </c>
    </row>
    <row r="9" ht="25" customHeight="1" spans="1:29">
      <c r="A9" s="22"/>
      <c r="B9" s="22"/>
      <c r="C9" s="63" t="s">
        <v>122</v>
      </c>
      <c r="D9" s="64"/>
      <c r="E9" s="64"/>
      <c r="F9" s="64"/>
      <c r="G9" s="64"/>
      <c r="H9" s="64"/>
      <c r="I9" s="64"/>
      <c r="J9" s="91"/>
      <c r="K9" s="22" t="s">
        <v>123</v>
      </c>
      <c r="L9" s="92">
        <f>R2-1</f>
        <v>44018</v>
      </c>
      <c r="M9" s="67" t="s">
        <v>124</v>
      </c>
      <c r="N9" s="92">
        <f>R2</f>
        <v>44019</v>
      </c>
      <c r="O9" s="65" t="s">
        <v>125</v>
      </c>
      <c r="P9" s="93">
        <f>N9-L9</f>
        <v>1</v>
      </c>
      <c r="Q9" s="22" t="s">
        <v>126</v>
      </c>
      <c r="R9" s="22">
        <v>3200</v>
      </c>
      <c r="S9" s="22">
        <v>4000</v>
      </c>
      <c r="T9" s="22">
        <v>5000</v>
      </c>
      <c r="U9" s="22">
        <v>6300</v>
      </c>
      <c r="V9" s="22">
        <v>8000</v>
      </c>
      <c r="W9" s="22">
        <v>2000</v>
      </c>
      <c r="X9" s="22">
        <v>3200</v>
      </c>
      <c r="Y9" s="22">
        <v>4000</v>
      </c>
      <c r="Z9" s="22">
        <v>5000</v>
      </c>
      <c r="AA9" s="22">
        <v>6300</v>
      </c>
      <c r="AB9" s="22">
        <v>8000</v>
      </c>
      <c r="AC9" s="22">
        <v>16000</v>
      </c>
    </row>
    <row r="10" ht="25" customHeight="1" spans="1:29">
      <c r="A10" s="22"/>
      <c r="B10" s="22"/>
      <c r="C10" s="22" t="s">
        <v>127</v>
      </c>
      <c r="D10" s="22" t="s">
        <v>128</v>
      </c>
      <c r="E10" s="22"/>
      <c r="F10" s="22" t="s">
        <v>129</v>
      </c>
      <c r="G10" s="22"/>
      <c r="H10" s="22" t="s">
        <v>130</v>
      </c>
      <c r="I10" s="22"/>
      <c r="J10" s="22" t="s">
        <v>131</v>
      </c>
      <c r="K10" s="22" t="s">
        <v>132</v>
      </c>
      <c r="L10" s="22"/>
      <c r="M10" s="22" t="s">
        <v>133</v>
      </c>
      <c r="N10" s="65" t="s">
        <v>134</v>
      </c>
      <c r="O10" s="65"/>
      <c r="P10" s="65"/>
      <c r="Q10" s="22" t="s">
        <v>135</v>
      </c>
      <c r="R10" s="22">
        <v>3500</v>
      </c>
      <c r="S10" s="22">
        <v>4500</v>
      </c>
      <c r="T10" s="22">
        <v>6000</v>
      </c>
      <c r="U10" s="22">
        <v>6500</v>
      </c>
      <c r="V10" s="22">
        <v>8500</v>
      </c>
      <c r="W10" s="22">
        <v>2500</v>
      </c>
      <c r="X10" s="22">
        <v>3500</v>
      </c>
      <c r="Y10" s="22">
        <v>4500</v>
      </c>
      <c r="Z10" s="22">
        <v>6000</v>
      </c>
      <c r="AA10" s="22">
        <v>6500</v>
      </c>
      <c r="AB10" s="22">
        <v>8500</v>
      </c>
      <c r="AC10" s="22">
        <v>16500</v>
      </c>
    </row>
    <row r="11" ht="33" customHeight="1" spans="1:20">
      <c r="A11" s="22"/>
      <c r="B11" s="22"/>
      <c r="C11" s="22"/>
      <c r="D11" s="22"/>
      <c r="E11" s="22"/>
      <c r="F11" s="22"/>
      <c r="G11" s="22"/>
      <c r="H11" s="22"/>
      <c r="I11" s="22"/>
      <c r="J11" s="22"/>
      <c r="K11" s="22"/>
      <c r="L11" s="22"/>
      <c r="M11" s="22"/>
      <c r="N11" s="22" t="s">
        <v>136</v>
      </c>
      <c r="O11" s="22" t="s">
        <v>137</v>
      </c>
      <c r="Q11" s="49" t="s">
        <v>138</v>
      </c>
      <c r="R11" s="120" t="s">
        <v>139</v>
      </c>
      <c r="S11" s="121"/>
      <c r="T11" s="121"/>
    </row>
    <row r="12" ht="25" customHeight="1" spans="1:18">
      <c r="A12" s="22"/>
      <c r="B12" s="22"/>
      <c r="C12" s="65" t="s">
        <v>140</v>
      </c>
      <c r="D12" s="52">
        <v>2043</v>
      </c>
      <c r="E12" s="52"/>
      <c r="F12" s="52">
        <v>1600</v>
      </c>
      <c r="G12" s="52"/>
      <c r="H12" s="66">
        <v>300</v>
      </c>
      <c r="I12" s="66"/>
      <c r="J12" s="22">
        <v>1000</v>
      </c>
      <c r="K12" s="89">
        <f>T2</f>
        <v>20</v>
      </c>
      <c r="L12" s="94"/>
      <c r="M12" s="22">
        <f>IF(K12=15,0.002,IF(OR(K12=16,K12=17),0.003,IF(OR(K12=18,K12=19),0.004,IF(OR(K12=20,K12=21),0.005,IF(OR(K12=22,K12=23),0.006,IF(K12=24,0.007,IF(K12=25,0.008,0)))))))</f>
        <v>0.005</v>
      </c>
      <c r="N12" s="22">
        <f>IF(AND(D12&lt;&gt;"",F12&lt;&gt;"",H12&lt;&gt;""),IF(MOD((D12/(D12+H12-F12)-M12)*J12*10^(-1),1)=0.5,ROUND((D12/(D12+H12-F12)-M12)*J12/2,-1)*2,ROUND((D12/(D12+H12-F12)-M12)*J12,-1)),0)</f>
        <v>2740</v>
      </c>
      <c r="O12" s="22">
        <f>IF(MOD(AVERAGE(N12,N13)*10^(-1),1)=0.5,ROUND(AVERAGE(N12,N13)/2,-1)*2,ROUND(AVERAGE(N12,N13),-1))</f>
        <v>2740</v>
      </c>
      <c r="Q12" s="49">
        <v>2600</v>
      </c>
      <c r="R12" s="49">
        <f>ABS(N12-N13)</f>
        <v>10</v>
      </c>
    </row>
    <row r="13" ht="25" customHeight="1" spans="1:15">
      <c r="A13" s="22"/>
      <c r="B13" s="22"/>
      <c r="C13" s="65" t="s">
        <v>141</v>
      </c>
      <c r="D13" s="52">
        <v>2060</v>
      </c>
      <c r="E13" s="52"/>
      <c r="F13" s="52">
        <v>1613</v>
      </c>
      <c r="G13" s="52"/>
      <c r="H13" s="66">
        <v>300</v>
      </c>
      <c r="I13" s="66"/>
      <c r="J13" s="22">
        <v>1000</v>
      </c>
      <c r="K13" s="89">
        <f>T2</f>
        <v>20</v>
      </c>
      <c r="L13" s="94"/>
      <c r="M13" s="22">
        <f>IF(K13=15,0.002,IF(OR(K13=16,K13=17),0.003,IF(OR(K13=18,K13=19),0.004,IF(OR(K13=20,K13=21),0.005,IF(OR(K13=22,K13=23),0.006,IF(K13=24,0.007,IF(K13=25,0.008,0)))))))</f>
        <v>0.005</v>
      </c>
      <c r="N13" s="22">
        <f>IF(AND(D13&lt;&gt;"",F13&lt;&gt;"",H13&lt;&gt;""),IF(MOD((D13/(D13+H13-F13)-M13)*J13*10^(-1),1)=0.5,ROUND((D13/(D13+H13-F13)-M13)*J13/2,-1)*2,ROUND((D13/(D13+H13-F13)-M13)*J13,-1)),0)</f>
        <v>2750</v>
      </c>
      <c r="O13" s="22"/>
    </row>
    <row r="14" ht="25" customHeight="1" spans="1:16">
      <c r="A14" s="22"/>
      <c r="B14" s="22"/>
      <c r="C14" s="22" t="s">
        <v>127</v>
      </c>
      <c r="D14" s="22" t="s">
        <v>128</v>
      </c>
      <c r="E14" s="22"/>
      <c r="F14" s="22" t="s">
        <v>142</v>
      </c>
      <c r="G14" s="22"/>
      <c r="H14" s="22" t="s">
        <v>143</v>
      </c>
      <c r="I14" s="22"/>
      <c r="J14" s="22" t="s">
        <v>131</v>
      </c>
      <c r="K14" s="22" t="s">
        <v>132</v>
      </c>
      <c r="L14" s="22"/>
      <c r="M14" s="22" t="s">
        <v>133</v>
      </c>
      <c r="N14" s="65" t="s">
        <v>134</v>
      </c>
      <c r="O14" s="65"/>
      <c r="P14" s="95"/>
    </row>
    <row r="15" ht="25" customHeight="1" spans="1:15">
      <c r="A15" s="22"/>
      <c r="B15" s="22"/>
      <c r="C15" s="22"/>
      <c r="D15" s="22"/>
      <c r="E15" s="22"/>
      <c r="F15" s="22"/>
      <c r="G15" s="22"/>
      <c r="H15" s="22"/>
      <c r="I15" s="22"/>
      <c r="J15" s="22"/>
      <c r="K15" s="22"/>
      <c r="L15" s="22"/>
      <c r="M15" s="22"/>
      <c r="N15" s="22" t="s">
        <v>136</v>
      </c>
      <c r="O15" s="22" t="s">
        <v>137</v>
      </c>
    </row>
    <row r="16" ht="25" customHeight="1" spans="1:15">
      <c r="A16" s="22"/>
      <c r="B16" s="22"/>
      <c r="C16" s="65" t="s">
        <v>140</v>
      </c>
      <c r="D16" s="22"/>
      <c r="E16" s="22"/>
      <c r="F16" s="22"/>
      <c r="G16" s="22"/>
      <c r="H16" s="22"/>
      <c r="I16" s="22"/>
      <c r="J16" s="22"/>
      <c r="K16" s="96"/>
      <c r="L16" s="97"/>
      <c r="M16" s="22"/>
      <c r="N16" s="22"/>
      <c r="O16" s="22"/>
    </row>
    <row r="17" ht="25" customHeight="1" spans="1:15">
      <c r="A17" s="22"/>
      <c r="B17" s="22"/>
      <c r="C17" s="65" t="s">
        <v>141</v>
      </c>
      <c r="D17" s="22"/>
      <c r="E17" s="22"/>
      <c r="F17" s="22"/>
      <c r="G17" s="22"/>
      <c r="H17" s="22"/>
      <c r="I17" s="22"/>
      <c r="J17" s="22"/>
      <c r="K17" s="96"/>
      <c r="L17" s="97"/>
      <c r="M17" s="22"/>
      <c r="N17" s="22"/>
      <c r="O17" s="22"/>
    </row>
    <row r="18" ht="25" customHeight="1" spans="1:16">
      <c r="A18" s="22" t="s">
        <v>144</v>
      </c>
      <c r="B18" s="22"/>
      <c r="C18" s="22" t="s">
        <v>118</v>
      </c>
      <c r="D18" s="52">
        <f>YEAR($L$9)</f>
        <v>2020</v>
      </c>
      <c r="E18" s="22" t="s">
        <v>104</v>
      </c>
      <c r="F18" s="52">
        <f>MONTH($L$9)</f>
        <v>7</v>
      </c>
      <c r="G18" s="22" t="s">
        <v>105</v>
      </c>
      <c r="H18" s="52">
        <f>DAY($L$9)</f>
        <v>6</v>
      </c>
      <c r="I18" s="11" t="s">
        <v>106</v>
      </c>
      <c r="J18" s="11"/>
      <c r="K18" s="11"/>
      <c r="L18" s="11"/>
      <c r="M18" s="11"/>
      <c r="N18" s="11"/>
      <c r="O18" s="11"/>
      <c r="P18" s="46"/>
    </row>
    <row r="19" ht="34" customHeight="1" spans="1:28">
      <c r="A19" s="22"/>
      <c r="B19" s="22"/>
      <c r="C19" s="22" t="s">
        <v>127</v>
      </c>
      <c r="D19" s="22" t="s">
        <v>145</v>
      </c>
      <c r="E19" s="22"/>
      <c r="F19" s="22" t="s">
        <v>146</v>
      </c>
      <c r="G19" s="22"/>
      <c r="H19" s="22"/>
      <c r="I19" s="22" t="s">
        <v>147</v>
      </c>
      <c r="J19" s="22"/>
      <c r="K19" s="22" t="s">
        <v>148</v>
      </c>
      <c r="L19" s="22"/>
      <c r="M19" s="22" t="s">
        <v>149</v>
      </c>
      <c r="N19" s="22"/>
      <c r="O19" s="22" t="s">
        <v>150</v>
      </c>
      <c r="Q19" s="49" t="s">
        <v>151</v>
      </c>
      <c r="R19" s="49" t="s">
        <v>152</v>
      </c>
      <c r="S19" s="49">
        <v>1</v>
      </c>
      <c r="T19" s="49">
        <v>2</v>
      </c>
      <c r="U19" s="49">
        <v>3</v>
      </c>
      <c r="V19" s="49">
        <v>5</v>
      </c>
      <c r="W19" s="49">
        <v>7</v>
      </c>
      <c r="X19" s="49">
        <v>10</v>
      </c>
      <c r="Y19" s="49">
        <v>20</v>
      </c>
      <c r="AB19" s="49">
        <v>30</v>
      </c>
    </row>
    <row r="20" ht="25" customHeight="1" spans="1:31">
      <c r="A20" s="22"/>
      <c r="B20" s="22"/>
      <c r="C20" s="65" t="s">
        <v>140</v>
      </c>
      <c r="D20" s="22">
        <f>LOOKUP($I20,$S$20:$AB$20,$S$21:$AB$21)</f>
        <v>1322</v>
      </c>
      <c r="E20" s="22"/>
      <c r="F20" s="52">
        <v>18339</v>
      </c>
      <c r="G20" s="52"/>
      <c r="H20" s="52"/>
      <c r="I20" s="98">
        <f>IF(OR($E$5=$R$4,$E$5=$S$4,$E$5=$T$4,$E$5=$W$4,$E$5=$X$4,$E$5=$Y$4,$E$5=$Z$4),10.01,IF(OR($E$5=$U$4,$E$5=$AA$4,$E$5=$V$4,$E$5=$AB$4),20,IF(OR($E$5=$AC$4),30.02,0)))</f>
        <v>10.01</v>
      </c>
      <c r="J20" s="98"/>
      <c r="K20" s="22">
        <f>IF(MOD((F20-D20)/I20*10^(-1),1)=0.5,ROUND((F20-D20)/I20/2,-1)*2,ROUND((F20-D20)/I20,-1))</f>
        <v>1700</v>
      </c>
      <c r="L20" s="22"/>
      <c r="M20" s="22">
        <f>IF(MOD(AVERAGE(K20,K21)*10^(-1),1)=0.5,ROUND(AVERAGE(K20,K21)/2,-1)*2,ROUND(AVERAGE(K20,K21),-1))</f>
        <v>1690</v>
      </c>
      <c r="N20" s="22"/>
      <c r="O20" s="22">
        <f>IF(MOD(AVERAGE((1-K20/N12),(1-K21/N13))*100*10^(0),1)=0.5,ROUND(AVERAGE((1-K20/N12),(1-K21/N13))*100/2,0)*2,ROUND(AVERAGE((1-K20/N12),(1-K21/N13))*100,0))</f>
        <v>38</v>
      </c>
      <c r="R20" s="49" t="s">
        <v>153</v>
      </c>
      <c r="S20" s="122">
        <v>1</v>
      </c>
      <c r="T20" s="122">
        <v>2.01</v>
      </c>
      <c r="U20" s="122">
        <v>3.02</v>
      </c>
      <c r="V20" s="122">
        <v>5.01</v>
      </c>
      <c r="W20" s="122">
        <v>6.99</v>
      </c>
      <c r="X20" s="122">
        <v>10.01</v>
      </c>
      <c r="Y20" s="122">
        <v>20</v>
      </c>
      <c r="Z20" s="122"/>
      <c r="AA20" s="122"/>
      <c r="AB20" s="122">
        <v>30.02</v>
      </c>
      <c r="AC20" s="122"/>
      <c r="AD20" s="122"/>
      <c r="AE20" s="122"/>
    </row>
    <row r="21" ht="25" customHeight="1" spans="1:28">
      <c r="A21" s="22"/>
      <c r="B21" s="22"/>
      <c r="C21" s="65" t="s">
        <v>141</v>
      </c>
      <c r="D21" s="22">
        <f>LOOKUP($I21,$S$20:$AB$20,$S$21:$AB$21)</f>
        <v>1322</v>
      </c>
      <c r="E21" s="22"/>
      <c r="F21" s="52">
        <v>18149</v>
      </c>
      <c r="G21" s="52"/>
      <c r="H21" s="52"/>
      <c r="I21" s="98">
        <f>IF(OR($E$5=$R$4,$E$5=$S$4,$E$5=$T$4,$E$5=$W$4,$E$5=$X$4,$E$5=$Y$4,$E$5=$Z$4),10.01,IF(OR($E$5=$U$4,$E$5=$AA$4,$E$5=$V$4,$E$5=$AB$4),20,IF(OR($E$5=$AC$4),30.02,0)))</f>
        <v>10.01</v>
      </c>
      <c r="J21" s="98"/>
      <c r="K21" s="22">
        <f>IF(MOD((F21-D21)/I21*10^(-1),1)=0.5,ROUND((F21-D21)/I21/2,-1)*2,ROUND((F21-D21)/I21,-1))</f>
        <v>1680</v>
      </c>
      <c r="L21" s="22"/>
      <c r="M21" s="22"/>
      <c r="N21" s="22"/>
      <c r="O21" s="22"/>
      <c r="R21" s="49" t="s">
        <v>154</v>
      </c>
      <c r="S21" s="49">
        <v>299</v>
      </c>
      <c r="T21" s="49">
        <v>480</v>
      </c>
      <c r="U21" s="49">
        <v>583</v>
      </c>
      <c r="V21" s="49">
        <v>722</v>
      </c>
      <c r="W21" s="49">
        <v>1048</v>
      </c>
      <c r="X21" s="49">
        <v>1322</v>
      </c>
      <c r="Y21" s="49">
        <v>2048</v>
      </c>
      <c r="AB21" s="49">
        <v>2714</v>
      </c>
    </row>
    <row r="22" ht="25" customHeight="1" spans="1:16">
      <c r="A22" s="22" t="s">
        <v>155</v>
      </c>
      <c r="B22" s="22"/>
      <c r="C22" s="22" t="s">
        <v>118</v>
      </c>
      <c r="D22" s="52">
        <f>YEAR($L$9)</f>
        <v>2020</v>
      </c>
      <c r="E22" s="22" t="s">
        <v>104</v>
      </c>
      <c r="F22" s="52">
        <f>MONTH($L$9)</f>
        <v>7</v>
      </c>
      <c r="G22" s="22" t="s">
        <v>105</v>
      </c>
      <c r="H22" s="52">
        <f>DAY($L$9)</f>
        <v>6</v>
      </c>
      <c r="I22" s="11" t="s">
        <v>106</v>
      </c>
      <c r="J22" s="11"/>
      <c r="K22" s="11"/>
      <c r="L22" s="11"/>
      <c r="M22" s="11"/>
      <c r="N22" s="11"/>
      <c r="O22" s="11"/>
      <c r="P22" s="46"/>
    </row>
    <row r="23" ht="25" customHeight="1" spans="1:15">
      <c r="A23" s="22"/>
      <c r="B23" s="22"/>
      <c r="C23" s="67" t="s">
        <v>156</v>
      </c>
      <c r="D23" s="67"/>
      <c r="E23" s="67"/>
      <c r="F23" s="67"/>
      <c r="G23" s="67"/>
      <c r="H23" s="67"/>
      <c r="I23" s="67" t="s">
        <v>157</v>
      </c>
      <c r="J23" s="67"/>
      <c r="K23" s="67"/>
      <c r="L23" s="67"/>
      <c r="M23" s="67"/>
      <c r="N23" s="22" t="s">
        <v>158</v>
      </c>
      <c r="O23" s="22"/>
    </row>
    <row r="24" ht="25" customHeight="1" spans="1:16">
      <c r="A24" s="22"/>
      <c r="B24" s="22"/>
      <c r="C24" s="52">
        <v>150</v>
      </c>
      <c r="D24" s="52"/>
      <c r="E24" s="52"/>
      <c r="F24" s="52"/>
      <c r="G24" s="52"/>
      <c r="H24" s="52"/>
      <c r="I24" s="22">
        <f>IF(OR($E$5=$R$4,$E$5=$X$4),1000,IF($E$5=$W$4,300,IF(OR($E$5=$S$4,$E$5=$Y$4),2000,IF(OR($E$5=$T$4,$E$5=$Z$4),3000,IF(OR($E$5=$U$4,$E$5=$AA$4),5000,IF(OR($E$5=$V$4,$E$5=$AB$4,$E$5=$AC$4),10000,0))))))</f>
        <v>3000</v>
      </c>
      <c r="J24" s="22"/>
      <c r="K24" s="22"/>
      <c r="L24" s="22"/>
      <c r="M24" s="22"/>
      <c r="N24" s="65">
        <f>IF(MOD(C24/I24*100*10^(0),1)=0.5,ROUND(C24/I24*100/2,0)*2,ROUND(C24/I24*100,0))</f>
        <v>5</v>
      </c>
      <c r="O24" s="65"/>
      <c r="P24" s="95"/>
    </row>
    <row r="25" ht="25" customHeight="1" spans="1:16">
      <c r="A25" s="22" t="s">
        <v>159</v>
      </c>
      <c r="B25" s="22"/>
      <c r="C25" s="22" t="s">
        <v>118</v>
      </c>
      <c r="D25" s="52">
        <f>IF($D$8&lt;&gt;"",$D$8,"")</f>
        <v>2020</v>
      </c>
      <c r="E25" s="22" t="s">
        <v>104</v>
      </c>
      <c r="F25" s="52">
        <f>IF($F$8&lt;&gt;"",$F$8,"")</f>
        <v>7</v>
      </c>
      <c r="G25" s="22" t="s">
        <v>105</v>
      </c>
      <c r="H25" s="52">
        <f>IF($H$8&lt;&gt;"",$H$8,"")</f>
        <v>7</v>
      </c>
      <c r="I25" s="11" t="s">
        <v>106</v>
      </c>
      <c r="J25" s="11"/>
      <c r="K25" s="11"/>
      <c r="L25" s="11"/>
      <c r="M25" s="11"/>
      <c r="N25" s="11"/>
      <c r="O25" s="11"/>
      <c r="P25" s="46"/>
    </row>
    <row r="26" ht="25" customHeight="1" spans="1:16">
      <c r="A26" s="22"/>
      <c r="B26" s="22"/>
      <c r="C26" s="63" t="s">
        <v>160</v>
      </c>
      <c r="D26" s="64"/>
      <c r="E26" s="64"/>
      <c r="F26" s="64"/>
      <c r="G26" s="64"/>
      <c r="H26" s="64"/>
      <c r="I26" s="64"/>
      <c r="J26" s="91"/>
      <c r="K26" s="22" t="s">
        <v>123</v>
      </c>
      <c r="L26" s="99">
        <v>0.5</v>
      </c>
      <c r="M26" s="67" t="s">
        <v>124</v>
      </c>
      <c r="N26" s="99">
        <v>0.583333333333333</v>
      </c>
      <c r="O26" s="65" t="s">
        <v>125</v>
      </c>
      <c r="P26" s="93">
        <f>N26-L26</f>
        <v>0.0833333333333334</v>
      </c>
    </row>
    <row r="27" ht="23" customHeight="1" spans="1:16">
      <c r="A27" s="22"/>
      <c r="B27" s="22"/>
      <c r="C27" s="22" t="s">
        <v>127</v>
      </c>
      <c r="D27" s="22" t="s">
        <v>161</v>
      </c>
      <c r="E27" s="22"/>
      <c r="F27" s="22"/>
      <c r="G27" s="22"/>
      <c r="H27" s="22"/>
      <c r="I27" s="22" t="s">
        <v>162</v>
      </c>
      <c r="J27" s="22"/>
      <c r="K27" s="22"/>
      <c r="L27" s="22"/>
      <c r="M27" s="22"/>
      <c r="N27" s="65" t="s">
        <v>163</v>
      </c>
      <c r="O27" s="65"/>
      <c r="P27" s="95"/>
    </row>
    <row r="28" ht="30" customHeight="1" spans="1:17">
      <c r="A28" s="22"/>
      <c r="B28" s="22"/>
      <c r="C28" s="22"/>
      <c r="D28" s="22"/>
      <c r="E28" s="22"/>
      <c r="F28" s="22"/>
      <c r="G28" s="22"/>
      <c r="H28" s="22"/>
      <c r="I28" s="22"/>
      <c r="J28" s="22"/>
      <c r="K28" s="22"/>
      <c r="L28" s="22"/>
      <c r="M28" s="22"/>
      <c r="N28" s="22" t="s">
        <v>136</v>
      </c>
      <c r="O28" s="22" t="s">
        <v>137</v>
      </c>
      <c r="Q28" s="49" t="s">
        <v>164</v>
      </c>
    </row>
    <row r="29" ht="25" customHeight="1" spans="1:20">
      <c r="A29" s="22"/>
      <c r="B29" s="22"/>
      <c r="C29" s="65" t="s">
        <v>140</v>
      </c>
      <c r="D29" s="22">
        <f>IF(OR($E$5=$R$4,$E$5=$W$4,$E$5=$X$4),2000,IF(OR($E$5=$S$4,$E$5=$T$4,$E$5=$Y$4,$E$5=$Z$4),6000,IF(OR($E$5=$U$4,$E$5=$V$4,$E$5=$AA$4,$E$5=$AB$4),10000,IF($E$5=$AC$4,20000,0))))/2</f>
        <v>3000</v>
      </c>
      <c r="E29" s="22"/>
      <c r="F29" s="22"/>
      <c r="G29" s="22"/>
      <c r="H29" s="22"/>
      <c r="I29" s="52">
        <v>2972</v>
      </c>
      <c r="J29" s="52"/>
      <c r="K29" s="52"/>
      <c r="L29" s="52"/>
      <c r="M29" s="52"/>
      <c r="N29" s="100">
        <f>IF(D29&lt;&gt;"",IF(MOD((D29-I29)/D29*100*10^1,1)=0.5,ROUND((D29-I29)/D29*100/2,1)*2,ROUND((D29-I29)/D29*100,1)),0)</f>
        <v>0.9</v>
      </c>
      <c r="O29" s="100">
        <f>IF(MOD(AVERAGE(N29,N30)*10^1,1)=0.5,ROUND(AVERAGE(N29,N30)/2,1)*2,ROUND(AVERAGE(N29,N30),1))</f>
        <v>0.9</v>
      </c>
      <c r="P29" s="101"/>
      <c r="S29" s="123"/>
      <c r="T29" s="123"/>
    </row>
    <row r="30" ht="25" customHeight="1" spans="1:16">
      <c r="A30" s="22"/>
      <c r="B30" s="22"/>
      <c r="C30" s="65" t="s">
        <v>141</v>
      </c>
      <c r="D30" s="22">
        <f>IF(OR($E$5=$R$4,$E$5=$W$4,$E$5=$X$4),2000,IF(OR($E$5=$S$4,$E$5=$T$4,$E$5=$Y$4,$E$5=$Z$4),6000,IF(OR($E$5=$U$4,$E$5=$V$4,$E$5=$AA$4,$E$5=$AB$4),10000,IF($E$5=$AC$4,20000,0))))/2</f>
        <v>3000</v>
      </c>
      <c r="E30" s="22"/>
      <c r="F30" s="22"/>
      <c r="G30" s="22"/>
      <c r="H30" s="22"/>
      <c r="I30" s="52">
        <v>2974</v>
      </c>
      <c r="J30" s="52"/>
      <c r="K30" s="52"/>
      <c r="L30" s="52"/>
      <c r="M30" s="52"/>
      <c r="N30" s="100">
        <f>IF(D30&lt;&gt;"",IF(MOD((D30-I30)/D30*100*10^1,1)=0.5,ROUND((D30-I30)/D30*100/2,1)*2,ROUND((D30-I30)/D30*100,1)),0)</f>
        <v>0.9</v>
      </c>
      <c r="O30" s="100"/>
      <c r="P30" s="101"/>
    </row>
    <row r="31" ht="20" customHeight="1" spans="1:15">
      <c r="A31" s="22" t="s">
        <v>60</v>
      </c>
      <c r="B31" s="22"/>
      <c r="C31" s="22" t="str">
        <f>IF(C4&lt;&gt;"",C4,"")</f>
        <v>150504-2020000015</v>
      </c>
      <c r="D31" s="22"/>
      <c r="E31" s="22"/>
      <c r="F31" s="22"/>
      <c r="G31" s="22"/>
      <c r="H31" s="22"/>
      <c r="I31" s="22"/>
      <c r="J31" s="22"/>
      <c r="K31" s="22"/>
      <c r="L31" s="22"/>
      <c r="M31" s="22"/>
      <c r="N31" s="22"/>
      <c r="O31" s="22"/>
    </row>
    <row r="32" ht="20" customHeight="1" spans="1:16">
      <c r="A32" s="22" t="s">
        <v>165</v>
      </c>
      <c r="B32" s="22"/>
      <c r="C32" s="22" t="s">
        <v>118</v>
      </c>
      <c r="D32" s="52">
        <f>IF($D$8&lt;&gt;"",$D$8,"")</f>
        <v>2020</v>
      </c>
      <c r="E32" s="22" t="s">
        <v>104</v>
      </c>
      <c r="F32" s="52">
        <f>IF($F$8&lt;&gt;"",$F$8,"")</f>
        <v>7</v>
      </c>
      <c r="G32" s="22" t="s">
        <v>105</v>
      </c>
      <c r="H32" s="52">
        <f>IF($H$8&lt;&gt;"",$H$8,"")</f>
        <v>7</v>
      </c>
      <c r="I32" s="11" t="s">
        <v>106</v>
      </c>
      <c r="J32" s="11"/>
      <c r="K32" s="11"/>
      <c r="L32" s="11"/>
      <c r="M32" s="11"/>
      <c r="N32" s="11"/>
      <c r="O32" s="11"/>
      <c r="P32" s="46"/>
    </row>
    <row r="33" ht="25" customHeight="1" spans="1:16">
      <c r="A33" s="22"/>
      <c r="B33" s="22"/>
      <c r="C33" s="68" t="s">
        <v>122</v>
      </c>
      <c r="D33" s="68"/>
      <c r="E33" s="68"/>
      <c r="F33" s="68"/>
      <c r="G33" s="68"/>
      <c r="H33" s="68"/>
      <c r="I33" s="68"/>
      <c r="J33" s="67"/>
      <c r="K33" s="22" t="s">
        <v>123</v>
      </c>
      <c r="L33" s="92">
        <f>N33-1</f>
        <v>44018</v>
      </c>
      <c r="M33" s="67" t="s">
        <v>124</v>
      </c>
      <c r="N33" s="92">
        <f>R2</f>
        <v>44019</v>
      </c>
      <c r="O33" s="65" t="s">
        <v>125</v>
      </c>
      <c r="P33" s="93">
        <f>N33-L33</f>
        <v>1</v>
      </c>
    </row>
    <row r="34" ht="25" customHeight="1" spans="1:16">
      <c r="A34" s="22"/>
      <c r="B34" s="22"/>
      <c r="C34" s="22" t="s">
        <v>127</v>
      </c>
      <c r="D34" s="22" t="s">
        <v>166</v>
      </c>
      <c r="E34" s="22"/>
      <c r="F34" s="22"/>
      <c r="G34" s="22"/>
      <c r="H34" s="22"/>
      <c r="I34" s="22" t="s">
        <v>167</v>
      </c>
      <c r="J34" s="22"/>
      <c r="K34" s="22"/>
      <c r="L34" s="22"/>
      <c r="M34" s="22"/>
      <c r="N34" s="65" t="s">
        <v>168</v>
      </c>
      <c r="O34" s="65"/>
      <c r="P34" s="95"/>
    </row>
    <row r="35" ht="25" customHeight="1" spans="1:15">
      <c r="A35" s="22"/>
      <c r="B35" s="22"/>
      <c r="C35" s="22"/>
      <c r="D35" s="22"/>
      <c r="E35" s="22"/>
      <c r="F35" s="22"/>
      <c r="G35" s="22"/>
      <c r="H35" s="22"/>
      <c r="I35" s="22"/>
      <c r="J35" s="22"/>
      <c r="K35" s="22"/>
      <c r="L35" s="22"/>
      <c r="M35" s="22"/>
      <c r="N35" s="22" t="s">
        <v>136</v>
      </c>
      <c r="O35" s="22" t="s">
        <v>137</v>
      </c>
    </row>
    <row r="36" ht="20" customHeight="1" spans="1:16">
      <c r="A36" s="22"/>
      <c r="B36" s="22"/>
      <c r="C36" s="65" t="s">
        <v>140</v>
      </c>
      <c r="D36" s="22">
        <f>IF(OR($E$5=$R$4,$E$5=$W$4,$E$5=$X$4),2000,IF(OR($E$5=$S$4,$E$5=$T$4,$E$5=$Y$4,$E$5=$Z$4),6000,IF(OR($E$5=$U$4,$E$5=$V$4,$E$5=$AA$4,$E$5=$AB$4),10000,IF($E$5=$AC$4,20000,0))))/2</f>
        <v>3000</v>
      </c>
      <c r="E36" s="22"/>
      <c r="F36" s="22"/>
      <c r="G36" s="22"/>
      <c r="H36" s="22"/>
      <c r="I36" s="52">
        <v>2996</v>
      </c>
      <c r="J36" s="52"/>
      <c r="K36" s="52"/>
      <c r="L36" s="52"/>
      <c r="M36" s="52"/>
      <c r="N36" s="100">
        <f>IF(D36&lt;&gt;"",IF(MOD((D36-I36)/D36*100*10^1,1)=0.5,ROUND((D36-I36)/D36*100/2,1)*2,ROUND((D36-I36)/D36*100,1)),0)</f>
        <v>0.1</v>
      </c>
      <c r="O36" s="100">
        <f>IF(MOD(AVERAGE(N36,N37)*10^1,1)=0.5,ROUND(AVERAGE(N36,N37)/2,1)*2,ROUND(AVERAGE(N36,N37),1))</f>
        <v>0.1</v>
      </c>
      <c r="P36" s="101"/>
    </row>
    <row r="37" ht="20" customHeight="1" spans="1:16">
      <c r="A37" s="22"/>
      <c r="B37" s="22"/>
      <c r="C37" s="65" t="s">
        <v>141</v>
      </c>
      <c r="D37" s="22">
        <f>IF(OR($E$5=$R$4,$E$5=$W$4,$E$5=$X$4),2000,IF(OR($E$5=$S$4,$E$5=$T$4,$E$5=$Y$4,$E$5=$Z$4),6000,IF(OR($E$5=$U$4,$E$5=$V$4,$E$5=$AA$4,$E$5=$AB$4),10000,IF($E$5=$AC$4,20000,0))))/2</f>
        <v>3000</v>
      </c>
      <c r="E37" s="22"/>
      <c r="F37" s="22"/>
      <c r="G37" s="22"/>
      <c r="H37" s="22"/>
      <c r="I37" s="52">
        <v>2996</v>
      </c>
      <c r="J37" s="52"/>
      <c r="K37" s="52"/>
      <c r="L37" s="52"/>
      <c r="M37" s="52"/>
      <c r="N37" s="100">
        <f>IF(D37&lt;&gt;"",IF(MOD((D37-I37)/D37*100*10^1,1)=0.5,ROUND((D37-I37)/D37*100/2,1)*2,ROUND((D37-I37)/D37*100,1)),0)</f>
        <v>0.1</v>
      </c>
      <c r="O37" s="100"/>
      <c r="P37" s="101"/>
    </row>
    <row r="38" ht="25" customHeight="1" spans="1:16">
      <c r="A38" s="22" t="s">
        <v>169</v>
      </c>
      <c r="B38" s="22"/>
      <c r="C38" s="22" t="s">
        <v>118</v>
      </c>
      <c r="D38" s="52">
        <f>YEAR($L$9)</f>
        <v>2020</v>
      </c>
      <c r="E38" s="22" t="s">
        <v>104</v>
      </c>
      <c r="F38" s="52">
        <f>MONTH($L$9)</f>
        <v>7</v>
      </c>
      <c r="G38" s="22" t="s">
        <v>105</v>
      </c>
      <c r="H38" s="52">
        <f>DAY($L$9)</f>
        <v>6</v>
      </c>
      <c r="I38" s="11" t="s">
        <v>106</v>
      </c>
      <c r="J38" s="11"/>
      <c r="K38" s="11"/>
      <c r="L38" s="11"/>
      <c r="M38" s="11"/>
      <c r="N38" s="11"/>
      <c r="O38" s="11"/>
      <c r="P38" s="46"/>
    </row>
    <row r="39" ht="25" customHeight="1" spans="1:15">
      <c r="A39" s="22"/>
      <c r="B39" s="22"/>
      <c r="C39" s="22" t="s">
        <v>127</v>
      </c>
      <c r="D39" s="22" t="s">
        <v>170</v>
      </c>
      <c r="E39" s="22"/>
      <c r="F39" s="22"/>
      <c r="G39" s="22"/>
      <c r="H39" s="22" t="s">
        <v>171</v>
      </c>
      <c r="I39" s="22"/>
      <c r="J39" s="22"/>
      <c r="K39" s="22"/>
      <c r="L39" s="22" t="s">
        <v>172</v>
      </c>
      <c r="M39" s="22"/>
      <c r="N39" s="22" t="s">
        <v>173</v>
      </c>
      <c r="O39" s="22"/>
    </row>
    <row r="40" ht="20" customHeight="1" spans="1:15">
      <c r="A40" s="22"/>
      <c r="B40" s="22"/>
      <c r="C40" s="65" t="s">
        <v>140</v>
      </c>
      <c r="D40" s="22">
        <v>3000</v>
      </c>
      <c r="E40" s="22"/>
      <c r="F40" s="22"/>
      <c r="G40" s="22"/>
      <c r="H40" s="52">
        <v>2850</v>
      </c>
      <c r="I40" s="52"/>
      <c r="J40" s="52"/>
      <c r="K40" s="52"/>
      <c r="L40" s="100">
        <f t="shared" ref="L40:L42" si="0">IF(D40&lt;&gt;"",IF(MOD((D40-H40)/D40*100*10^1,1)=0.5,ROUND((D40-H40)/D40*100/2,1)*2,ROUND((D40-H40)/D40*100,1)),0)</f>
        <v>5</v>
      </c>
      <c r="M40" s="100"/>
      <c r="N40" s="102">
        <f>IF(MOD(AVERAGE(L40:M42)*10^1,1)=0.5,ROUND(AVERAGE(L40:M42)/2,1)*2,ROUND(AVERAGE(L40:M42),1))</f>
        <v>4.9</v>
      </c>
      <c r="O40" s="102"/>
    </row>
    <row r="41" ht="20" customHeight="1" spans="1:15">
      <c r="A41" s="22"/>
      <c r="B41" s="22"/>
      <c r="C41" s="65" t="s">
        <v>141</v>
      </c>
      <c r="D41" s="22">
        <v>3000</v>
      </c>
      <c r="E41" s="22"/>
      <c r="F41" s="22"/>
      <c r="G41" s="22"/>
      <c r="H41" s="52">
        <v>2859</v>
      </c>
      <c r="I41" s="52"/>
      <c r="J41" s="52"/>
      <c r="K41" s="52"/>
      <c r="L41" s="100">
        <f t="shared" si="0"/>
        <v>4.7</v>
      </c>
      <c r="M41" s="100"/>
      <c r="N41" s="102"/>
      <c r="O41" s="102"/>
    </row>
    <row r="42" ht="20" customHeight="1" spans="1:15">
      <c r="A42" s="22"/>
      <c r="B42" s="22"/>
      <c r="C42" s="65" t="s">
        <v>174</v>
      </c>
      <c r="D42" s="22">
        <v>3000</v>
      </c>
      <c r="E42" s="22"/>
      <c r="F42" s="22"/>
      <c r="G42" s="22"/>
      <c r="H42" s="52">
        <v>2850</v>
      </c>
      <c r="I42" s="52"/>
      <c r="J42" s="52"/>
      <c r="K42" s="52"/>
      <c r="L42" s="100">
        <f t="shared" si="0"/>
        <v>5</v>
      </c>
      <c r="M42" s="100"/>
      <c r="N42" s="102"/>
      <c r="O42" s="102"/>
    </row>
    <row r="43" ht="25" customHeight="1" spans="1:15">
      <c r="A43" s="62" t="s">
        <v>175</v>
      </c>
      <c r="B43" s="22"/>
      <c r="C43" s="22" t="s">
        <v>118</v>
      </c>
      <c r="D43" s="52" t="s">
        <v>176</v>
      </c>
      <c r="E43" s="22" t="s">
        <v>104</v>
      </c>
      <c r="F43" s="52" t="s">
        <v>176</v>
      </c>
      <c r="G43" s="22" t="s">
        <v>105</v>
      </c>
      <c r="H43" s="52" t="s">
        <v>176</v>
      </c>
      <c r="I43" s="57" t="s">
        <v>106</v>
      </c>
      <c r="J43" s="103" t="s">
        <v>177</v>
      </c>
      <c r="K43" s="88"/>
      <c r="L43" s="88"/>
      <c r="M43" s="71"/>
      <c r="N43" s="70"/>
      <c r="O43" s="71"/>
    </row>
    <row r="44" ht="23" customHeight="1" spans="1:15">
      <c r="A44" s="22"/>
      <c r="B44" s="22"/>
      <c r="C44" s="22" t="s">
        <v>178</v>
      </c>
      <c r="D44" s="22">
        <v>1</v>
      </c>
      <c r="E44" s="22">
        <v>2</v>
      </c>
      <c r="F44" s="22">
        <v>3</v>
      </c>
      <c r="G44" s="22">
        <v>4</v>
      </c>
      <c r="H44" s="22">
        <v>5</v>
      </c>
      <c r="I44" s="22">
        <v>6</v>
      </c>
      <c r="J44" s="22">
        <v>7</v>
      </c>
      <c r="K44" s="22">
        <v>8</v>
      </c>
      <c r="L44" s="22">
        <v>9</v>
      </c>
      <c r="M44" s="22">
        <v>10</v>
      </c>
      <c r="N44" s="22">
        <v>11</v>
      </c>
      <c r="O44" s="22">
        <v>12</v>
      </c>
    </row>
    <row r="45" ht="36" customHeight="1" spans="1:15">
      <c r="A45" s="22"/>
      <c r="B45" s="22"/>
      <c r="C45" s="22" t="s">
        <v>179</v>
      </c>
      <c r="D45" s="22"/>
      <c r="E45" s="22"/>
      <c r="F45" s="22"/>
      <c r="G45" s="22"/>
      <c r="H45" s="22"/>
      <c r="I45" s="22"/>
      <c r="J45" s="22"/>
      <c r="K45" s="22"/>
      <c r="L45" s="22"/>
      <c r="M45" s="22"/>
      <c r="N45" s="22"/>
      <c r="O45" s="22"/>
    </row>
    <row r="46" ht="30" customHeight="1" spans="1:47">
      <c r="A46" s="22"/>
      <c r="B46" s="22"/>
      <c r="C46" s="22" t="s">
        <v>180</v>
      </c>
      <c r="D46" s="22"/>
      <c r="E46" s="22"/>
      <c r="F46" s="22"/>
      <c r="G46" s="22"/>
      <c r="H46" s="22"/>
      <c r="I46" s="22"/>
      <c r="J46" s="22"/>
      <c r="K46" s="22"/>
      <c r="L46" s="22"/>
      <c r="M46" s="22"/>
      <c r="N46" s="22"/>
      <c r="O46" s="22"/>
      <c r="T46" s="22"/>
      <c r="U46" s="22"/>
      <c r="V46" s="22"/>
      <c r="W46" s="22">
        <v>1</v>
      </c>
      <c r="X46" s="22">
        <v>2</v>
      </c>
      <c r="Y46" s="22">
        <v>3</v>
      </c>
      <c r="Z46" s="22">
        <v>4</v>
      </c>
      <c r="AA46" s="22">
        <v>5</v>
      </c>
      <c r="AB46" s="22">
        <v>6</v>
      </c>
      <c r="AC46" s="22">
        <v>7</v>
      </c>
      <c r="AD46" s="22">
        <v>8</v>
      </c>
      <c r="AE46" s="22">
        <v>9</v>
      </c>
      <c r="AF46" s="22">
        <v>10</v>
      </c>
      <c r="AG46" s="22">
        <v>11</v>
      </c>
      <c r="AH46" s="22">
        <v>12</v>
      </c>
      <c r="AI46" s="22">
        <v>13</v>
      </c>
      <c r="AJ46" s="22">
        <v>14</v>
      </c>
      <c r="AK46" s="22">
        <v>15</v>
      </c>
      <c r="AL46" s="22">
        <v>16</v>
      </c>
      <c r="AM46" s="22">
        <v>17</v>
      </c>
      <c r="AN46" s="22">
        <v>18</v>
      </c>
      <c r="AO46" s="22">
        <v>19</v>
      </c>
      <c r="AP46" s="22">
        <v>20</v>
      </c>
      <c r="AQ46" s="22">
        <v>21</v>
      </c>
      <c r="AR46" s="22">
        <v>22</v>
      </c>
      <c r="AS46" s="22">
        <v>23</v>
      </c>
      <c r="AT46" s="22"/>
      <c r="AU46" s="22"/>
    </row>
    <row r="47" ht="20" customHeight="1" spans="1:47">
      <c r="A47" s="69" t="s">
        <v>181</v>
      </c>
      <c r="B47" s="70" t="s">
        <v>118</v>
      </c>
      <c r="C47" s="71"/>
      <c r="D47" s="52">
        <f>YEAR($L$9)</f>
        <v>2020</v>
      </c>
      <c r="E47" s="22" t="s">
        <v>104</v>
      </c>
      <c r="F47" s="52">
        <f>MONTH($L$9)</f>
        <v>7</v>
      </c>
      <c r="G47" s="22" t="s">
        <v>105</v>
      </c>
      <c r="H47" s="52">
        <f>DAY($L$9)</f>
        <v>6</v>
      </c>
      <c r="I47" s="11" t="s">
        <v>106</v>
      </c>
      <c r="J47" s="11"/>
      <c r="K47" s="11"/>
      <c r="L47" s="11"/>
      <c r="M47" s="11"/>
      <c r="N47" s="11"/>
      <c r="O47" s="11"/>
      <c r="P47" s="46"/>
      <c r="R47" s="49" t="s">
        <v>182</v>
      </c>
      <c r="S47" s="49" t="s">
        <v>183</v>
      </c>
      <c r="T47" s="22"/>
      <c r="U47" s="22"/>
      <c r="V47" s="22"/>
      <c r="W47" s="69" t="s">
        <v>184</v>
      </c>
      <c r="X47" s="70">
        <v>1</v>
      </c>
      <c r="Y47" s="88"/>
      <c r="Z47" s="88"/>
      <c r="AA47" s="71"/>
      <c r="AB47" s="70">
        <v>2</v>
      </c>
      <c r="AC47" s="88"/>
      <c r="AD47" s="88"/>
      <c r="AE47" s="71"/>
      <c r="AF47" s="70">
        <v>3</v>
      </c>
      <c r="AG47" s="88"/>
      <c r="AH47" s="88"/>
      <c r="AI47" s="71"/>
      <c r="AJ47" s="70">
        <v>4</v>
      </c>
      <c r="AK47" s="88"/>
      <c r="AL47" s="88"/>
      <c r="AM47" s="71"/>
      <c r="AN47" s="70">
        <v>5</v>
      </c>
      <c r="AO47" s="88"/>
      <c r="AP47" s="88"/>
      <c r="AQ47" s="71"/>
      <c r="AR47" s="22">
        <v>6</v>
      </c>
      <c r="AS47" s="22"/>
      <c r="AT47" s="22"/>
      <c r="AU47" s="22"/>
    </row>
    <row r="48" ht="25" customHeight="1" spans="1:47">
      <c r="A48" s="72"/>
      <c r="B48" s="73" t="s">
        <v>185</v>
      </c>
      <c r="C48" s="74"/>
      <c r="D48" s="74"/>
      <c r="E48" s="75"/>
      <c r="F48" s="67" t="s">
        <v>186</v>
      </c>
      <c r="G48" s="76"/>
      <c r="H48" s="76"/>
      <c r="I48" s="76"/>
      <c r="J48" s="76" t="s">
        <v>187</v>
      </c>
      <c r="K48" s="76"/>
      <c r="L48" s="76"/>
      <c r="M48" s="76"/>
      <c r="N48" s="67" t="s">
        <v>188</v>
      </c>
      <c r="O48" s="67"/>
      <c r="P48" s="104"/>
      <c r="Q48" s="104"/>
      <c r="R48" s="49">
        <f>IF(OR($E$5=$R$4,$E$5=$X$4),3500,IF($E$5=$W$4,2500,IF(OR($E$5=$S$4,$E$5=$Y$4),4500,IF(OR($E$5=$T$4,$E$5=$Z$4),6000,IF(OR($E$5=$U$4,$E$5=$AA$4),6500,IF(OR($E$5=$V$4,$E$5=$AB$4),8500,IF($E$5=$AC$4,16500,0)))))))</f>
        <v>6000</v>
      </c>
      <c r="S48" s="49">
        <f>R48*0.1%</f>
        <v>6</v>
      </c>
      <c r="T48" s="22" t="s">
        <v>189</v>
      </c>
      <c r="U48" s="22" t="s">
        <v>190</v>
      </c>
      <c r="V48" s="22" t="s">
        <v>191</v>
      </c>
      <c r="W48" s="79"/>
      <c r="X48" s="22" t="s">
        <v>192</v>
      </c>
      <c r="Y48" s="22" t="s">
        <v>193</v>
      </c>
      <c r="Z48" s="22" t="s">
        <v>194</v>
      </c>
      <c r="AA48" s="22" t="s">
        <v>195</v>
      </c>
      <c r="AB48" s="22" t="s">
        <v>192</v>
      </c>
      <c r="AC48" s="22" t="s">
        <v>193</v>
      </c>
      <c r="AD48" s="22" t="s">
        <v>194</v>
      </c>
      <c r="AE48" s="22" t="s">
        <v>195</v>
      </c>
      <c r="AF48" s="22" t="s">
        <v>192</v>
      </c>
      <c r="AG48" s="22" t="s">
        <v>193</v>
      </c>
      <c r="AH48" s="22" t="s">
        <v>194</v>
      </c>
      <c r="AI48" s="22" t="s">
        <v>195</v>
      </c>
      <c r="AJ48" s="22" t="s">
        <v>192</v>
      </c>
      <c r="AK48" s="22" t="s">
        <v>193</v>
      </c>
      <c r="AL48" s="22" t="s">
        <v>194</v>
      </c>
      <c r="AM48" s="22" t="s">
        <v>195</v>
      </c>
      <c r="AN48" s="22" t="s">
        <v>192</v>
      </c>
      <c r="AO48" s="22" t="s">
        <v>193</v>
      </c>
      <c r="AP48" s="22" t="s">
        <v>194</v>
      </c>
      <c r="AQ48" s="22" t="s">
        <v>195</v>
      </c>
      <c r="AR48" s="22" t="s">
        <v>192</v>
      </c>
      <c r="AS48" s="22" t="s">
        <v>193</v>
      </c>
      <c r="AT48" s="22" t="s">
        <v>194</v>
      </c>
      <c r="AU48" s="22" t="s">
        <v>195</v>
      </c>
    </row>
    <row r="49" ht="20" customHeight="1" spans="1:47">
      <c r="A49" s="72"/>
      <c r="B49" s="73" t="s">
        <v>196</v>
      </c>
      <c r="C49" s="74"/>
      <c r="D49" s="74"/>
      <c r="E49" s="75"/>
      <c r="F49" s="77"/>
      <c r="G49" s="77"/>
      <c r="H49" s="77"/>
      <c r="I49" s="77"/>
      <c r="J49" s="76" t="str">
        <f t="shared" ref="J49:J57" si="1">IF(F49&lt;&gt;"",IF(MOD(F49/$R$48*100*10^1,1)=0.5,ROUND(F49/$R$48*100/2,1)*2,ROUND(F49/$R$48*100,1)),"")</f>
        <v/>
      </c>
      <c r="K49" s="76"/>
      <c r="L49" s="76"/>
      <c r="M49" s="76"/>
      <c r="N49" s="76" t="str">
        <f>IF(F49&lt;&gt;"",IF(MOD(J49*10^(0),1)=0.5,ROUND(J49/2,0)*2,ROUND(J49,0)),"")</f>
        <v/>
      </c>
      <c r="O49" s="76"/>
      <c r="P49" s="105"/>
      <c r="Q49" s="105">
        <v>53</v>
      </c>
      <c r="R49" s="49" t="str">
        <f>IF(COUNTIF($T$49:$T$59,Q49)&gt;0,"有","无")</f>
        <v>无</v>
      </c>
      <c r="T49" s="124">
        <f>VLOOKUP($E$5,$W$49:$AS$60,2,FALSE)</f>
        <v>31.5</v>
      </c>
      <c r="U49" s="125">
        <f>VLOOKUP($E$5,$W$49:$AS$60,3,FALSE)</f>
        <v>0</v>
      </c>
      <c r="V49" s="22">
        <f>SUMIF($Q$49:$Q$57,T49,$N$49:$O$57)</f>
        <v>0</v>
      </c>
      <c r="W49" s="22" t="s">
        <v>89</v>
      </c>
      <c r="X49" s="22">
        <v>19</v>
      </c>
      <c r="Y49" s="22">
        <v>0</v>
      </c>
      <c r="Z49" s="22" t="s">
        <v>197</v>
      </c>
      <c r="AA49" s="22" t="s">
        <v>197</v>
      </c>
      <c r="AB49" s="22">
        <v>16</v>
      </c>
      <c r="AC49" s="62" t="s">
        <v>198</v>
      </c>
      <c r="AD49" s="22" t="str">
        <f>LEFT(AC49,1)</f>
        <v>0</v>
      </c>
      <c r="AE49" s="22" t="str">
        <f>RIGHT(AC49,2)</f>
        <v>10</v>
      </c>
      <c r="AF49" s="22">
        <v>9.5</v>
      </c>
      <c r="AG49" s="22" t="s">
        <v>199</v>
      </c>
      <c r="AH49" s="22" t="s">
        <v>200</v>
      </c>
      <c r="AI49" s="22" t="s">
        <v>201</v>
      </c>
      <c r="AJ49" s="22">
        <v>4.75</v>
      </c>
      <c r="AK49" s="22" t="s">
        <v>202</v>
      </c>
      <c r="AL49" s="22" t="s">
        <v>203</v>
      </c>
      <c r="AM49" s="22" t="s">
        <v>204</v>
      </c>
      <c r="AN49" s="22">
        <v>2.36</v>
      </c>
      <c r="AO49" s="22" t="s">
        <v>205</v>
      </c>
      <c r="AP49" s="22" t="s">
        <v>206</v>
      </c>
      <c r="AQ49" s="22" t="s">
        <v>204</v>
      </c>
      <c r="AR49" s="22" t="s">
        <v>176</v>
      </c>
      <c r="AS49" s="22" t="s">
        <v>176</v>
      </c>
      <c r="AT49" s="22"/>
      <c r="AU49" s="22"/>
    </row>
    <row r="50" ht="20" customHeight="1" spans="1:47">
      <c r="A50" s="72"/>
      <c r="B50" s="73" t="s">
        <v>207</v>
      </c>
      <c r="C50" s="74"/>
      <c r="D50" s="74"/>
      <c r="E50" s="75"/>
      <c r="F50" s="77"/>
      <c r="G50" s="77"/>
      <c r="H50" s="77"/>
      <c r="I50" s="77"/>
      <c r="J50" s="76" t="str">
        <f t="shared" si="1"/>
        <v/>
      </c>
      <c r="K50" s="76"/>
      <c r="L50" s="76"/>
      <c r="M50" s="76"/>
      <c r="N50" s="76" t="str">
        <f>IF(F50&lt;&gt;"",IF(MOD(SUM($J$49:M50)*10^0,1)=0.5,ROUND(SUM($J$49:M50)/2,0)*2,ROUND(SUM($J$49:M50),0)),"")</f>
        <v/>
      </c>
      <c r="O50" s="76"/>
      <c r="P50" s="105"/>
      <c r="Q50" s="105">
        <v>37.5</v>
      </c>
      <c r="R50" s="49" t="str">
        <f t="shared" ref="R50:R57" si="2">IF(COUNTIF($T$49:$T$59,Q50)&gt;0,"有","无")</f>
        <v>无</v>
      </c>
      <c r="T50" s="124">
        <f>VLOOKUP($E$5,$W$49:$AS$60,6,FALSE)</f>
        <v>26.5</v>
      </c>
      <c r="U50" s="125" t="str">
        <f>VLOOKUP($E$5,$W$49:$AS$60,7,FALSE)</f>
        <v>0～5</v>
      </c>
      <c r="V50" s="22">
        <f>SUMIF($Q$49:$Q$57,T50,$N$49:$O$57)</f>
        <v>1</v>
      </c>
      <c r="W50" s="22" t="s">
        <v>90</v>
      </c>
      <c r="X50" s="22">
        <v>26.5</v>
      </c>
      <c r="Y50" s="22">
        <v>0</v>
      </c>
      <c r="Z50" s="22" t="s">
        <v>197</v>
      </c>
      <c r="AA50" s="22" t="s">
        <v>197</v>
      </c>
      <c r="AB50" s="22">
        <v>19</v>
      </c>
      <c r="AC50" s="22" t="s">
        <v>208</v>
      </c>
      <c r="AD50" s="22" t="str">
        <f t="shared" ref="AD50:AD60" si="3">LEFT(AC50,1)</f>
        <v>0</v>
      </c>
      <c r="AE50" s="22" t="str">
        <f t="shared" ref="AE50:AE60" si="4">RIGHT(AC50,2)</f>
        <v>10</v>
      </c>
      <c r="AF50" s="22">
        <v>9.5</v>
      </c>
      <c r="AG50" s="22" t="s">
        <v>209</v>
      </c>
      <c r="AH50" s="22" t="s">
        <v>210</v>
      </c>
      <c r="AI50" s="22" t="s">
        <v>211</v>
      </c>
      <c r="AJ50" s="22">
        <v>4.75</v>
      </c>
      <c r="AK50" s="22" t="s">
        <v>212</v>
      </c>
      <c r="AL50" s="22" t="s">
        <v>213</v>
      </c>
      <c r="AM50" s="22" t="s">
        <v>204</v>
      </c>
      <c r="AN50" s="22">
        <v>2.36</v>
      </c>
      <c r="AO50" s="22" t="s">
        <v>205</v>
      </c>
      <c r="AP50" s="22" t="s">
        <v>206</v>
      </c>
      <c r="AQ50" s="22" t="s">
        <v>204</v>
      </c>
      <c r="AR50" s="22" t="s">
        <v>176</v>
      </c>
      <c r="AS50" s="22" t="s">
        <v>176</v>
      </c>
      <c r="AT50" s="22"/>
      <c r="AU50" s="22"/>
    </row>
    <row r="51" ht="20" customHeight="1" spans="1:47">
      <c r="A51" s="72"/>
      <c r="B51" s="73" t="s">
        <v>214</v>
      </c>
      <c r="C51" s="74"/>
      <c r="D51" s="74"/>
      <c r="E51" s="75"/>
      <c r="F51" s="77">
        <v>0</v>
      </c>
      <c r="G51" s="77"/>
      <c r="H51" s="77"/>
      <c r="I51" s="77"/>
      <c r="J51" s="76">
        <f t="shared" si="1"/>
        <v>0</v>
      </c>
      <c r="K51" s="76"/>
      <c r="L51" s="76"/>
      <c r="M51" s="76"/>
      <c r="N51" s="76">
        <f>IF(F51&lt;&gt;"",IF(MOD(SUM($J$49:M51)*10^0,1)=0.5,ROUND(SUM($J$49:M51)/2,0)*2,ROUND(SUM($J$49:M51),0)),"")</f>
        <v>0</v>
      </c>
      <c r="O51" s="76"/>
      <c r="P51" s="105"/>
      <c r="Q51" s="105">
        <v>31.5</v>
      </c>
      <c r="R51" s="49" t="str">
        <f t="shared" si="2"/>
        <v>有</v>
      </c>
      <c r="T51" s="124">
        <f>VLOOKUP($E$5,$W$49:$AS$60,10,FALSE)</f>
        <v>16</v>
      </c>
      <c r="U51" s="125" t="str">
        <f>VLOOKUP($E$5,$W$49:$AS$60,11,FALSE)</f>
        <v>30～70</v>
      </c>
      <c r="V51" s="22">
        <f>SUMIF($Q$49:$Q$57,T51,$N$49:$O$57)</f>
        <v>70</v>
      </c>
      <c r="W51" s="22" t="s">
        <v>91</v>
      </c>
      <c r="X51" s="22">
        <v>31.5</v>
      </c>
      <c r="Y51" s="22">
        <v>0</v>
      </c>
      <c r="Z51" s="22" t="s">
        <v>197</v>
      </c>
      <c r="AA51" s="22" t="s">
        <v>197</v>
      </c>
      <c r="AB51" s="22">
        <v>26.5</v>
      </c>
      <c r="AC51" s="22" t="s">
        <v>215</v>
      </c>
      <c r="AD51" s="22" t="str">
        <f t="shared" si="3"/>
        <v>0</v>
      </c>
      <c r="AE51" s="22" t="str">
        <f t="shared" ref="AE51:AE53" si="5">RIGHT(AC51,1)</f>
        <v>5</v>
      </c>
      <c r="AF51" s="22">
        <v>16</v>
      </c>
      <c r="AG51" s="22" t="s">
        <v>216</v>
      </c>
      <c r="AH51" s="22" t="s">
        <v>200</v>
      </c>
      <c r="AI51" s="22" t="s">
        <v>197</v>
      </c>
      <c r="AJ51" s="22">
        <v>4.75</v>
      </c>
      <c r="AK51" s="22" t="s">
        <v>212</v>
      </c>
      <c r="AL51" s="22" t="s">
        <v>213</v>
      </c>
      <c r="AM51" s="22" t="s">
        <v>204</v>
      </c>
      <c r="AN51" s="22">
        <v>2.36</v>
      </c>
      <c r="AO51" s="22" t="s">
        <v>205</v>
      </c>
      <c r="AP51" s="22" t="s">
        <v>206</v>
      </c>
      <c r="AQ51" s="22" t="s">
        <v>204</v>
      </c>
      <c r="AR51" s="22" t="s">
        <v>176</v>
      </c>
      <c r="AS51" s="22" t="s">
        <v>176</v>
      </c>
      <c r="AT51" s="22"/>
      <c r="AU51" s="22"/>
    </row>
    <row r="52" ht="20" customHeight="1" spans="1:47">
      <c r="A52" s="72"/>
      <c r="B52" s="73" t="s">
        <v>217</v>
      </c>
      <c r="C52" s="74"/>
      <c r="D52" s="74"/>
      <c r="E52" s="75"/>
      <c r="F52" s="77">
        <v>50</v>
      </c>
      <c r="G52" s="77"/>
      <c r="H52" s="77"/>
      <c r="I52" s="77"/>
      <c r="J52" s="106">
        <f t="shared" si="1"/>
        <v>0.8</v>
      </c>
      <c r="K52" s="106"/>
      <c r="L52" s="106"/>
      <c r="M52" s="106"/>
      <c r="N52" s="76">
        <f>IF(F52&lt;&gt;"",IF(MOD(SUM($J$49:M52)*10^0,1)=0.5,ROUND(SUM($J$49:M52)/2,0)*2,ROUND(SUM($J$49:M52),0)),"")</f>
        <v>1</v>
      </c>
      <c r="O52" s="76"/>
      <c r="P52" s="105"/>
      <c r="Q52" s="105">
        <v>26.5</v>
      </c>
      <c r="R52" s="49" t="str">
        <f t="shared" si="2"/>
        <v>有</v>
      </c>
      <c r="T52" s="124">
        <f>VLOOKUP($E$5,$W$49:$AS$60,14,FALSE)</f>
        <v>4.75</v>
      </c>
      <c r="U52" s="125" t="str">
        <f>VLOOKUP($E$5,$W$49:$AS$60,15,FALSE)</f>
        <v>90～100</v>
      </c>
      <c r="V52" s="22">
        <f>SUMIF($Q$49:$Q$57,T52,$N$49:$O$57)</f>
        <v>95</v>
      </c>
      <c r="W52" s="22" t="s">
        <v>92</v>
      </c>
      <c r="X52" s="22">
        <v>37.5</v>
      </c>
      <c r="Y52" s="22">
        <v>0</v>
      </c>
      <c r="Z52" s="22" t="s">
        <v>197</v>
      </c>
      <c r="AA52" s="22" t="s">
        <v>197</v>
      </c>
      <c r="AB52" s="22">
        <v>31.5</v>
      </c>
      <c r="AC52" s="22" t="s">
        <v>215</v>
      </c>
      <c r="AD52" s="22" t="str">
        <f t="shared" si="3"/>
        <v>0</v>
      </c>
      <c r="AE52" s="22" t="str">
        <f t="shared" si="5"/>
        <v>5</v>
      </c>
      <c r="AF52" s="22">
        <v>19</v>
      </c>
      <c r="AG52" s="22" t="s">
        <v>218</v>
      </c>
      <c r="AH52" s="22" t="s">
        <v>82</v>
      </c>
      <c r="AI52" s="22" t="s">
        <v>219</v>
      </c>
      <c r="AJ52" s="22">
        <v>9.5</v>
      </c>
      <c r="AK52" s="22" t="s">
        <v>220</v>
      </c>
      <c r="AL52" s="22" t="s">
        <v>221</v>
      </c>
      <c r="AM52" s="22" t="s">
        <v>197</v>
      </c>
      <c r="AN52" s="22">
        <v>4.75</v>
      </c>
      <c r="AO52" s="22" t="s">
        <v>212</v>
      </c>
      <c r="AP52" s="22" t="s">
        <v>213</v>
      </c>
      <c r="AQ52" s="22" t="s">
        <v>204</v>
      </c>
      <c r="AR52" s="22">
        <v>2.36</v>
      </c>
      <c r="AS52" s="22" t="s">
        <v>205</v>
      </c>
      <c r="AT52" s="22" t="s">
        <v>206</v>
      </c>
      <c r="AU52" s="22" t="s">
        <v>204</v>
      </c>
    </row>
    <row r="53" ht="20" customHeight="1" spans="1:47">
      <c r="A53" s="72"/>
      <c r="B53" s="73" t="s">
        <v>222</v>
      </c>
      <c r="C53" s="74"/>
      <c r="D53" s="74"/>
      <c r="E53" s="75"/>
      <c r="F53" s="77"/>
      <c r="G53" s="77"/>
      <c r="H53" s="77"/>
      <c r="I53" s="77"/>
      <c r="J53" s="76" t="str">
        <f t="shared" si="1"/>
        <v/>
      </c>
      <c r="K53" s="76"/>
      <c r="L53" s="76"/>
      <c r="M53" s="76"/>
      <c r="N53" s="76" t="str">
        <f>IF(F53&lt;&gt;"",IF(MOD(SUM($J$49:M53)*10^0,1)=0.5,ROUND(SUM($J$49:M53)/2,0)*2,ROUND(SUM($J$49:M53),0)),"")</f>
        <v/>
      </c>
      <c r="O53" s="76"/>
      <c r="P53" s="105"/>
      <c r="Q53" s="105">
        <v>19</v>
      </c>
      <c r="R53" s="49" t="str">
        <f t="shared" si="2"/>
        <v>无</v>
      </c>
      <c r="T53" s="124">
        <f>VLOOKUP($E$5,$W$49:$AS$60,18,FALSE)</f>
        <v>2.36</v>
      </c>
      <c r="U53" s="125" t="str">
        <f>VLOOKUP($E$5,$W$49:$AS$60,19,FALSE)</f>
        <v>95～100</v>
      </c>
      <c r="V53" s="22">
        <f>IF(T53&lt;&gt;"—",SUMIF($Q$49:$Q$57,T53,$N$49:$O$57),"—")</f>
        <v>99</v>
      </c>
      <c r="W53" s="22" t="s">
        <v>93</v>
      </c>
      <c r="X53" s="22">
        <v>53</v>
      </c>
      <c r="Y53" s="22">
        <v>0</v>
      </c>
      <c r="Z53" s="22" t="s">
        <v>197</v>
      </c>
      <c r="AA53" s="22" t="s">
        <v>197</v>
      </c>
      <c r="AB53" s="22">
        <v>37.5</v>
      </c>
      <c r="AC53" s="22" t="s">
        <v>215</v>
      </c>
      <c r="AD53" s="22" t="str">
        <f t="shared" si="3"/>
        <v>0</v>
      </c>
      <c r="AE53" s="22" t="str">
        <f t="shared" si="5"/>
        <v>5</v>
      </c>
      <c r="AF53" s="22">
        <v>19</v>
      </c>
      <c r="AG53" s="22" t="s">
        <v>223</v>
      </c>
      <c r="AH53" s="22" t="s">
        <v>200</v>
      </c>
      <c r="AI53" s="22" t="s">
        <v>219</v>
      </c>
      <c r="AJ53" s="22">
        <v>9.5</v>
      </c>
      <c r="AK53" s="22" t="s">
        <v>220</v>
      </c>
      <c r="AL53" s="22" t="s">
        <v>221</v>
      </c>
      <c r="AM53" s="22" t="s">
        <v>197</v>
      </c>
      <c r="AN53" s="22">
        <v>4.75</v>
      </c>
      <c r="AO53" s="22" t="s">
        <v>205</v>
      </c>
      <c r="AP53" s="22" t="s">
        <v>206</v>
      </c>
      <c r="AQ53" s="22" t="s">
        <v>204</v>
      </c>
      <c r="AR53" s="22" t="s">
        <v>176</v>
      </c>
      <c r="AS53" s="22" t="s">
        <v>176</v>
      </c>
      <c r="AT53" s="22"/>
      <c r="AU53" s="22"/>
    </row>
    <row r="54" ht="20" customHeight="1" spans="1:47">
      <c r="A54" s="72"/>
      <c r="B54" s="73" t="s">
        <v>224</v>
      </c>
      <c r="C54" s="74"/>
      <c r="D54" s="74"/>
      <c r="E54" s="75"/>
      <c r="F54" s="77">
        <v>4134</v>
      </c>
      <c r="G54" s="77"/>
      <c r="H54" s="77"/>
      <c r="I54" s="77"/>
      <c r="J54" s="76">
        <f t="shared" si="1"/>
        <v>68.9</v>
      </c>
      <c r="K54" s="76"/>
      <c r="L54" s="76"/>
      <c r="M54" s="76"/>
      <c r="N54" s="76">
        <f>IF(F54&lt;&gt;"",IF(MOD(SUM($J$49:M54)*10^0,1)=0.5,ROUND(SUM($J$49:M54)/2,0)*2,ROUND(SUM($J$49:M54),0)),"")</f>
        <v>70</v>
      </c>
      <c r="O54" s="76"/>
      <c r="P54" s="105"/>
      <c r="Q54" s="105">
        <v>16</v>
      </c>
      <c r="R54" s="49" t="str">
        <f t="shared" si="2"/>
        <v>有</v>
      </c>
      <c r="T54" s="124" t="str">
        <f>VLOOKUP($E$5,$W$49:$AS$60,22,FALSE)</f>
        <v>—</v>
      </c>
      <c r="U54" s="125" t="str">
        <f>VLOOKUP($E$5,$W$49:$AS$61,23,FALSE)</f>
        <v>—</v>
      </c>
      <c r="V54" s="22" t="str">
        <f>IF(T54&lt;&gt;"—",SUMIF($Q$49:$Q$57,T54,$N$49:$O$57),"—")</f>
        <v>—</v>
      </c>
      <c r="W54" s="22" t="s">
        <v>94</v>
      </c>
      <c r="X54" s="22">
        <v>16</v>
      </c>
      <c r="Y54" s="22">
        <v>0</v>
      </c>
      <c r="Z54" s="22" t="s">
        <v>197</v>
      </c>
      <c r="AA54" s="22" t="s">
        <v>197</v>
      </c>
      <c r="AB54" s="22">
        <v>9.5</v>
      </c>
      <c r="AC54" s="22" t="s">
        <v>225</v>
      </c>
      <c r="AD54" s="22" t="str">
        <f t="shared" si="3"/>
        <v>0</v>
      </c>
      <c r="AE54" s="22" t="str">
        <f t="shared" si="4"/>
        <v>15</v>
      </c>
      <c r="AF54" s="22">
        <v>4.75</v>
      </c>
      <c r="AG54" s="22" t="s">
        <v>226</v>
      </c>
      <c r="AH54" s="22" t="s">
        <v>211</v>
      </c>
      <c r="AI54" s="22" t="s">
        <v>204</v>
      </c>
      <c r="AJ54" s="22">
        <v>2.36</v>
      </c>
      <c r="AK54" s="22" t="s">
        <v>205</v>
      </c>
      <c r="AL54" s="22" t="s">
        <v>206</v>
      </c>
      <c r="AM54" s="22" t="s">
        <v>204</v>
      </c>
      <c r="AN54" s="22" t="s">
        <v>176</v>
      </c>
      <c r="AO54" s="22" t="s">
        <v>176</v>
      </c>
      <c r="AP54" s="22" t="s">
        <v>176</v>
      </c>
      <c r="AQ54" s="22" t="s">
        <v>176</v>
      </c>
      <c r="AR54" s="22" t="s">
        <v>176</v>
      </c>
      <c r="AS54" s="22" t="s">
        <v>176</v>
      </c>
      <c r="AT54" s="22"/>
      <c r="AU54" s="22"/>
    </row>
    <row r="55" ht="20" customHeight="1" spans="1:47">
      <c r="A55" s="72"/>
      <c r="B55" s="73" t="s">
        <v>227</v>
      </c>
      <c r="C55" s="74"/>
      <c r="D55" s="74"/>
      <c r="E55" s="75"/>
      <c r="F55" s="77"/>
      <c r="G55" s="77"/>
      <c r="H55" s="77"/>
      <c r="I55" s="77"/>
      <c r="J55" s="76" t="str">
        <f t="shared" si="1"/>
        <v/>
      </c>
      <c r="K55" s="76"/>
      <c r="L55" s="76"/>
      <c r="M55" s="76"/>
      <c r="N55" s="76" t="str">
        <f>IF(F55&lt;&gt;"",IF(MOD(SUM($J$49:M55)*10^0,1)=0.5,ROUND(SUM($J$49:M55)/2,0)*2,ROUND(SUM($J$49:M55),0)),"")</f>
        <v/>
      </c>
      <c r="O55" s="76"/>
      <c r="P55" s="105"/>
      <c r="Q55" s="105">
        <v>9.5</v>
      </c>
      <c r="R55" s="49" t="str">
        <f t="shared" si="2"/>
        <v>无</v>
      </c>
      <c r="T55" s="22"/>
      <c r="U55" s="22"/>
      <c r="V55" s="22"/>
      <c r="W55" s="22" t="s">
        <v>95</v>
      </c>
      <c r="X55" s="22">
        <v>16</v>
      </c>
      <c r="Y55" s="22" t="s">
        <v>225</v>
      </c>
      <c r="Z55" s="22" t="s">
        <v>197</v>
      </c>
      <c r="AA55" s="22" t="s">
        <v>82</v>
      </c>
      <c r="AB55" s="22">
        <v>9.5</v>
      </c>
      <c r="AC55" s="22" t="s">
        <v>202</v>
      </c>
      <c r="AD55" s="22" t="str">
        <f>LEFT(AC55,2)</f>
        <v>85</v>
      </c>
      <c r="AE55" s="22" t="str">
        <f>RIGHT(AC55,3)</f>
        <v>100</v>
      </c>
      <c r="AF55" s="22">
        <v>4.75</v>
      </c>
      <c r="AG55" s="22" t="s">
        <v>205</v>
      </c>
      <c r="AH55" s="22" t="s">
        <v>206</v>
      </c>
      <c r="AI55" s="22" t="s">
        <v>204</v>
      </c>
      <c r="AJ55" s="22" t="s">
        <v>176</v>
      </c>
      <c r="AK55" s="22" t="s">
        <v>176</v>
      </c>
      <c r="AL55" s="22" t="s">
        <v>176</v>
      </c>
      <c r="AM55" s="22" t="s">
        <v>176</v>
      </c>
      <c r="AN55" s="22" t="s">
        <v>176</v>
      </c>
      <c r="AO55" s="22" t="s">
        <v>176</v>
      </c>
      <c r="AP55" s="22" t="s">
        <v>176</v>
      </c>
      <c r="AQ55" s="22" t="s">
        <v>176</v>
      </c>
      <c r="AR55" s="22" t="s">
        <v>176</v>
      </c>
      <c r="AS55" s="22" t="s">
        <v>176</v>
      </c>
      <c r="AT55" s="22"/>
      <c r="AU55" s="22"/>
    </row>
    <row r="56" ht="20" customHeight="1" spans="1:47">
      <c r="A56" s="72"/>
      <c r="B56" s="73" t="s">
        <v>228</v>
      </c>
      <c r="C56" s="74"/>
      <c r="D56" s="74"/>
      <c r="E56" s="75"/>
      <c r="F56" s="77">
        <v>1512</v>
      </c>
      <c r="G56" s="77"/>
      <c r="H56" s="77"/>
      <c r="I56" s="77"/>
      <c r="J56" s="76">
        <f t="shared" si="1"/>
        <v>25.2</v>
      </c>
      <c r="K56" s="76"/>
      <c r="L56" s="76"/>
      <c r="M56" s="76"/>
      <c r="N56" s="107">
        <f>IF(F56&lt;&gt;"",IF(MOD(SUM($J$49:M56)*10^0,1)=0.5,ROUND(SUM($J$49:M56)/2,0)*2,ROUND(SUM($J$49:M56),0)),"")</f>
        <v>95</v>
      </c>
      <c r="O56" s="107"/>
      <c r="P56" s="105"/>
      <c r="Q56" s="105">
        <v>4.75</v>
      </c>
      <c r="R56" s="49" t="str">
        <f t="shared" si="2"/>
        <v>有</v>
      </c>
      <c r="T56" s="22"/>
      <c r="U56" s="22"/>
      <c r="V56" s="22"/>
      <c r="W56" s="22" t="s">
        <v>96</v>
      </c>
      <c r="X56" s="22">
        <v>26.5</v>
      </c>
      <c r="Y56" s="22">
        <v>0</v>
      </c>
      <c r="Z56" s="22" t="s">
        <v>197</v>
      </c>
      <c r="AA56" s="22" t="s">
        <v>197</v>
      </c>
      <c r="AB56" s="22">
        <v>19</v>
      </c>
      <c r="AC56" s="22" t="s">
        <v>225</v>
      </c>
      <c r="AD56" s="22" t="str">
        <f t="shared" si="3"/>
        <v>0</v>
      </c>
      <c r="AE56" s="22" t="str">
        <f t="shared" si="4"/>
        <v>15</v>
      </c>
      <c r="AF56" s="22">
        <v>9.5</v>
      </c>
      <c r="AG56" s="22" t="s">
        <v>202</v>
      </c>
      <c r="AH56" s="22" t="s">
        <v>203</v>
      </c>
      <c r="AI56" s="22" t="s">
        <v>204</v>
      </c>
      <c r="AJ56" s="22">
        <v>4.75</v>
      </c>
      <c r="AK56" s="22" t="s">
        <v>205</v>
      </c>
      <c r="AL56" s="22" t="s">
        <v>206</v>
      </c>
      <c r="AM56" s="22" t="s">
        <v>204</v>
      </c>
      <c r="AN56" s="22" t="s">
        <v>176</v>
      </c>
      <c r="AO56" s="22" t="s">
        <v>176</v>
      </c>
      <c r="AP56" s="22" t="s">
        <v>176</v>
      </c>
      <c r="AQ56" s="22" t="s">
        <v>176</v>
      </c>
      <c r="AR56" s="22" t="s">
        <v>176</v>
      </c>
      <c r="AS56" s="22" t="s">
        <v>176</v>
      </c>
      <c r="AT56" s="22"/>
      <c r="AU56" s="22"/>
    </row>
    <row r="57" ht="20" customHeight="1" spans="1:47">
      <c r="A57" s="72"/>
      <c r="B57" s="73" t="s">
        <v>229</v>
      </c>
      <c r="C57" s="74"/>
      <c r="D57" s="74"/>
      <c r="E57" s="75"/>
      <c r="F57" s="77">
        <v>241</v>
      </c>
      <c r="G57" s="77"/>
      <c r="H57" s="77"/>
      <c r="I57" s="77"/>
      <c r="J57" s="76">
        <f t="shared" si="1"/>
        <v>4</v>
      </c>
      <c r="K57" s="76"/>
      <c r="L57" s="76"/>
      <c r="M57" s="76"/>
      <c r="N57" s="76">
        <f>IF(F57&lt;&gt;"",IF(MOD(SUM($J$49:M57)*10^0,1)=0.5,ROUND(SUM($J$49:M57)/2,0)*2,ROUND(SUM($J$49:M57),0)),"")</f>
        <v>99</v>
      </c>
      <c r="O57" s="76"/>
      <c r="P57" s="105"/>
      <c r="Q57" s="105">
        <v>2.36</v>
      </c>
      <c r="R57" s="49" t="str">
        <f t="shared" si="2"/>
        <v>有</v>
      </c>
      <c r="T57" s="22"/>
      <c r="U57" s="22"/>
      <c r="V57" s="22"/>
      <c r="W57" s="22" t="s">
        <v>97</v>
      </c>
      <c r="X57" s="22">
        <v>26.5</v>
      </c>
      <c r="Y57" s="22" t="s">
        <v>208</v>
      </c>
      <c r="Z57" s="22" t="s">
        <v>197</v>
      </c>
      <c r="AA57" s="22" t="s">
        <v>230</v>
      </c>
      <c r="AB57" s="22">
        <v>19</v>
      </c>
      <c r="AC57" s="22" t="s">
        <v>231</v>
      </c>
      <c r="AD57" s="22" t="str">
        <f>LEFT(AC57,2)</f>
        <v>25</v>
      </c>
      <c r="AE57" s="22" t="str">
        <f t="shared" si="4"/>
        <v>40</v>
      </c>
      <c r="AF57" s="22">
        <v>16</v>
      </c>
      <c r="AG57" s="22" t="s">
        <v>232</v>
      </c>
      <c r="AH57" s="22" t="s">
        <v>233</v>
      </c>
      <c r="AI57" s="22" t="s">
        <v>221</v>
      </c>
      <c r="AJ57" s="22">
        <v>9.5</v>
      </c>
      <c r="AK57" s="22" t="s">
        <v>205</v>
      </c>
      <c r="AL57" s="22" t="s">
        <v>206</v>
      </c>
      <c r="AM57" s="22" t="s">
        <v>204</v>
      </c>
      <c r="AN57" s="22" t="s">
        <v>176</v>
      </c>
      <c r="AO57" s="22" t="s">
        <v>176</v>
      </c>
      <c r="AP57" s="22" t="s">
        <v>176</v>
      </c>
      <c r="AQ57" s="22" t="s">
        <v>176</v>
      </c>
      <c r="AR57" s="22" t="s">
        <v>176</v>
      </c>
      <c r="AS57" s="22" t="s">
        <v>176</v>
      </c>
      <c r="AT57" s="22"/>
      <c r="AU57" s="22"/>
    </row>
    <row r="58" ht="20" customHeight="1" spans="1:47">
      <c r="A58" s="72"/>
      <c r="B58" s="73" t="s">
        <v>234</v>
      </c>
      <c r="C58" s="74"/>
      <c r="D58" s="74"/>
      <c r="E58" s="75"/>
      <c r="F58" s="78">
        <v>61</v>
      </c>
      <c r="G58" s="78"/>
      <c r="H58" s="78"/>
      <c r="I58" s="78"/>
      <c r="J58" s="76" t="s">
        <v>176</v>
      </c>
      <c r="K58" s="76"/>
      <c r="L58" s="76"/>
      <c r="M58" s="76"/>
      <c r="N58" s="76" t="s">
        <v>176</v>
      </c>
      <c r="O58" s="76"/>
      <c r="P58" s="105"/>
      <c r="Q58" s="105"/>
      <c r="T58" s="22"/>
      <c r="U58" s="22"/>
      <c r="V58" s="22"/>
      <c r="W58" s="22" t="s">
        <v>98</v>
      </c>
      <c r="X58" s="22">
        <v>37.5</v>
      </c>
      <c r="Y58" s="22">
        <v>0</v>
      </c>
      <c r="Z58" s="22" t="s">
        <v>197</v>
      </c>
      <c r="AA58" s="22" t="s">
        <v>197</v>
      </c>
      <c r="AB58" s="22">
        <v>31.5</v>
      </c>
      <c r="AC58" s="22" t="s">
        <v>208</v>
      </c>
      <c r="AD58" s="22" t="str">
        <f t="shared" si="3"/>
        <v>0</v>
      </c>
      <c r="AE58" s="22" t="str">
        <f t="shared" si="4"/>
        <v>10</v>
      </c>
      <c r="AF58" s="22">
        <v>16</v>
      </c>
      <c r="AG58" s="22" t="s">
        <v>226</v>
      </c>
      <c r="AH58" s="22" t="s">
        <v>211</v>
      </c>
      <c r="AI58" s="22" t="s">
        <v>204</v>
      </c>
      <c r="AJ58" s="22">
        <v>4.75</v>
      </c>
      <c r="AK58" s="22" t="s">
        <v>205</v>
      </c>
      <c r="AL58" s="22" t="s">
        <v>206</v>
      </c>
      <c r="AM58" s="22" t="s">
        <v>204</v>
      </c>
      <c r="AN58" s="22" t="s">
        <v>176</v>
      </c>
      <c r="AO58" s="22" t="s">
        <v>176</v>
      </c>
      <c r="AP58" s="22" t="s">
        <v>176</v>
      </c>
      <c r="AQ58" s="22" t="s">
        <v>176</v>
      </c>
      <c r="AR58" s="22" t="s">
        <v>176</v>
      </c>
      <c r="AS58" s="22" t="s">
        <v>176</v>
      </c>
      <c r="AT58" s="22"/>
      <c r="AU58" s="22"/>
    </row>
    <row r="59" ht="20" customHeight="1" spans="1:47">
      <c r="A59" s="79"/>
      <c r="B59" s="73" t="s">
        <v>235</v>
      </c>
      <c r="C59" s="74"/>
      <c r="D59" s="74"/>
      <c r="E59" s="75"/>
      <c r="F59" s="80">
        <f>R48-SUM(F49:I58)</f>
        <v>2</v>
      </c>
      <c r="G59" s="81"/>
      <c r="H59" s="81"/>
      <c r="I59" s="81"/>
      <c r="J59" s="81"/>
      <c r="K59" s="81"/>
      <c r="L59" s="81"/>
      <c r="M59" s="81"/>
      <c r="N59" s="81"/>
      <c r="O59" s="108"/>
      <c r="P59" s="105"/>
      <c r="Q59" s="105"/>
      <c r="R59" s="126"/>
      <c r="T59" s="22"/>
      <c r="U59" s="22"/>
      <c r="V59" s="22"/>
      <c r="W59" s="22" t="s">
        <v>99</v>
      </c>
      <c r="X59" s="22">
        <v>53</v>
      </c>
      <c r="Y59" s="22">
        <v>0</v>
      </c>
      <c r="Z59" s="22" t="s">
        <v>197</v>
      </c>
      <c r="AA59" s="22" t="s">
        <v>197</v>
      </c>
      <c r="AB59" s="22">
        <v>37.5</v>
      </c>
      <c r="AC59" s="22" t="s">
        <v>208</v>
      </c>
      <c r="AD59" s="22" t="str">
        <f t="shared" si="3"/>
        <v>0</v>
      </c>
      <c r="AE59" s="22" t="str">
        <f t="shared" si="4"/>
        <v>10</v>
      </c>
      <c r="AF59" s="22">
        <v>19</v>
      </c>
      <c r="AG59" s="22" t="s">
        <v>226</v>
      </c>
      <c r="AH59" s="22" t="s">
        <v>211</v>
      </c>
      <c r="AI59" s="22" t="s">
        <v>204</v>
      </c>
      <c r="AJ59" s="22">
        <v>9.5</v>
      </c>
      <c r="AK59" s="22" t="s">
        <v>205</v>
      </c>
      <c r="AL59" s="22" t="s">
        <v>206</v>
      </c>
      <c r="AM59" s="22" t="s">
        <v>204</v>
      </c>
      <c r="AN59" s="22" t="s">
        <v>176</v>
      </c>
      <c r="AO59" s="22" t="s">
        <v>176</v>
      </c>
      <c r="AP59" s="22" t="s">
        <v>176</v>
      </c>
      <c r="AQ59" s="22" t="s">
        <v>176</v>
      </c>
      <c r="AR59" s="22" t="s">
        <v>176</v>
      </c>
      <c r="AS59" s="22" t="s">
        <v>176</v>
      </c>
      <c r="AT59" s="22"/>
      <c r="AU59" s="22"/>
    </row>
    <row r="60" ht="60" customHeight="1" spans="1:47">
      <c r="A60" s="22" t="s">
        <v>236</v>
      </c>
      <c r="B60" s="22"/>
      <c r="C60" s="22"/>
      <c r="D60" s="82" t="s">
        <v>237</v>
      </c>
      <c r="E60" s="11"/>
      <c r="F60" s="11"/>
      <c r="G60" s="11"/>
      <c r="H60" s="11"/>
      <c r="I60" s="11"/>
      <c r="J60" s="11"/>
      <c r="K60" s="11"/>
      <c r="L60" s="11"/>
      <c r="M60" s="11"/>
      <c r="N60" s="11"/>
      <c r="O60" s="11"/>
      <c r="P60" s="46"/>
      <c r="T60" s="22"/>
      <c r="U60" s="22"/>
      <c r="V60" s="22"/>
      <c r="W60" s="22" t="s">
        <v>100</v>
      </c>
      <c r="X60" s="22">
        <v>90</v>
      </c>
      <c r="Y60" s="22">
        <v>0</v>
      </c>
      <c r="Z60" s="22" t="s">
        <v>197</v>
      </c>
      <c r="AA60" s="22" t="s">
        <v>197</v>
      </c>
      <c r="AB60" s="22">
        <v>75</v>
      </c>
      <c r="AC60" s="22" t="s">
        <v>208</v>
      </c>
      <c r="AD60" s="22" t="str">
        <f t="shared" si="3"/>
        <v>0</v>
      </c>
      <c r="AE60" s="22" t="str">
        <f t="shared" si="4"/>
        <v>10</v>
      </c>
      <c r="AF60" s="22">
        <v>63</v>
      </c>
      <c r="AG60" s="22" t="s">
        <v>199</v>
      </c>
      <c r="AH60" s="22" t="s">
        <v>200</v>
      </c>
      <c r="AI60" s="22" t="s">
        <v>201</v>
      </c>
      <c r="AJ60" s="22">
        <v>37.5</v>
      </c>
      <c r="AK60" s="22" t="s">
        <v>238</v>
      </c>
      <c r="AL60" s="22" t="s">
        <v>221</v>
      </c>
      <c r="AM60" s="22" t="s">
        <v>204</v>
      </c>
      <c r="AN60" s="22">
        <v>19</v>
      </c>
      <c r="AO60" s="22" t="s">
        <v>205</v>
      </c>
      <c r="AP60" s="22" t="s">
        <v>206</v>
      </c>
      <c r="AQ60" s="22" t="s">
        <v>204</v>
      </c>
      <c r="AR60" s="22" t="s">
        <v>176</v>
      </c>
      <c r="AS60" s="22" t="s">
        <v>176</v>
      </c>
      <c r="AT60" s="22"/>
      <c r="AU60" s="22"/>
    </row>
    <row r="61" ht="25" customHeight="1" spans="1:15">
      <c r="A61" s="22" t="s">
        <v>11</v>
      </c>
      <c r="B61" s="22"/>
      <c r="C61" s="22"/>
      <c r="D61" s="22" t="s">
        <v>239</v>
      </c>
      <c r="E61" s="22"/>
      <c r="F61" s="22"/>
      <c r="G61" s="22"/>
      <c r="H61" s="22"/>
      <c r="I61" s="22"/>
      <c r="J61" s="22"/>
      <c r="K61" s="22"/>
      <c r="L61" s="22"/>
      <c r="M61" s="22"/>
      <c r="N61" s="22"/>
      <c r="O61" s="22"/>
    </row>
    <row r="62" ht="31" customHeight="1"/>
    <row r="63" ht="31" customHeight="1"/>
    <row r="64" ht="31" customHeight="1"/>
  </sheetData>
  <mergeCells count="191">
    <mergeCell ref="A1:O1"/>
    <mergeCell ref="W1:X1"/>
    <mergeCell ref="A2:O2"/>
    <mergeCell ref="F3:J3"/>
    <mergeCell ref="L3:O3"/>
    <mergeCell ref="R3:V3"/>
    <mergeCell ref="W3:AC3"/>
    <mergeCell ref="A4:B4"/>
    <mergeCell ref="C4:O4"/>
    <mergeCell ref="A5:B5"/>
    <mergeCell ref="C5:D5"/>
    <mergeCell ref="E5:F5"/>
    <mergeCell ref="H5:I5"/>
    <mergeCell ref="A6:B6"/>
    <mergeCell ref="D6:E6"/>
    <mergeCell ref="F6:G6"/>
    <mergeCell ref="H6:O6"/>
    <mergeCell ref="A7:B7"/>
    <mergeCell ref="C7:O7"/>
    <mergeCell ref="K8:L8"/>
    <mergeCell ref="C9:J9"/>
    <mergeCell ref="N10:O10"/>
    <mergeCell ref="D12:E12"/>
    <mergeCell ref="F12:G12"/>
    <mergeCell ref="H12:I12"/>
    <mergeCell ref="K12:L12"/>
    <mergeCell ref="D13:E13"/>
    <mergeCell ref="F13:G13"/>
    <mergeCell ref="H13:I13"/>
    <mergeCell ref="K13:L13"/>
    <mergeCell ref="N14:O14"/>
    <mergeCell ref="D16:E16"/>
    <mergeCell ref="F16:G16"/>
    <mergeCell ref="H16:I16"/>
    <mergeCell ref="K16:L16"/>
    <mergeCell ref="D17:E17"/>
    <mergeCell ref="F17:G17"/>
    <mergeCell ref="H17:I17"/>
    <mergeCell ref="K17:L17"/>
    <mergeCell ref="I18:O18"/>
    <mergeCell ref="D19:E19"/>
    <mergeCell ref="F19:H19"/>
    <mergeCell ref="I19:J19"/>
    <mergeCell ref="K19:L19"/>
    <mergeCell ref="M19:N19"/>
    <mergeCell ref="D20:E20"/>
    <mergeCell ref="F20:H20"/>
    <mergeCell ref="I20:J20"/>
    <mergeCell ref="K20:L20"/>
    <mergeCell ref="D21:E21"/>
    <mergeCell ref="F21:H21"/>
    <mergeCell ref="I21:J21"/>
    <mergeCell ref="K21:L21"/>
    <mergeCell ref="I22:O22"/>
    <mergeCell ref="C23:H23"/>
    <mergeCell ref="I23:M23"/>
    <mergeCell ref="N23:O23"/>
    <mergeCell ref="C24:H24"/>
    <mergeCell ref="I24:M24"/>
    <mergeCell ref="N24:O24"/>
    <mergeCell ref="I25:O25"/>
    <mergeCell ref="C26:J26"/>
    <mergeCell ref="N27:O27"/>
    <mergeCell ref="D29:H29"/>
    <mergeCell ref="I29:M29"/>
    <mergeCell ref="D30:H30"/>
    <mergeCell ref="I30:M30"/>
    <mergeCell ref="A31:B31"/>
    <mergeCell ref="C31:O31"/>
    <mergeCell ref="I32:O32"/>
    <mergeCell ref="C33:I33"/>
    <mergeCell ref="N34:O34"/>
    <mergeCell ref="D36:H36"/>
    <mergeCell ref="I36:M36"/>
    <mergeCell ref="D37:H37"/>
    <mergeCell ref="I37:M37"/>
    <mergeCell ref="I38:O38"/>
    <mergeCell ref="D39:G39"/>
    <mergeCell ref="H39:K39"/>
    <mergeCell ref="L39:M39"/>
    <mergeCell ref="N39:O39"/>
    <mergeCell ref="D40:G40"/>
    <mergeCell ref="H40:K40"/>
    <mergeCell ref="L40:M40"/>
    <mergeCell ref="D41:G41"/>
    <mergeCell ref="H41:K41"/>
    <mergeCell ref="L41:M41"/>
    <mergeCell ref="D42:G42"/>
    <mergeCell ref="H42:K42"/>
    <mergeCell ref="L42:M42"/>
    <mergeCell ref="J43:M43"/>
    <mergeCell ref="N43:O43"/>
    <mergeCell ref="D46:O46"/>
    <mergeCell ref="B47:C47"/>
    <mergeCell ref="I47:O47"/>
    <mergeCell ref="X47:AA47"/>
    <mergeCell ref="AB47:AE47"/>
    <mergeCell ref="AF47:AI47"/>
    <mergeCell ref="AJ47:AM47"/>
    <mergeCell ref="AN47:AQ47"/>
    <mergeCell ref="AR47:AU47"/>
    <mergeCell ref="B48:E48"/>
    <mergeCell ref="F48:I48"/>
    <mergeCell ref="J48:M48"/>
    <mergeCell ref="N48:O48"/>
    <mergeCell ref="B49:E49"/>
    <mergeCell ref="F49:I49"/>
    <mergeCell ref="J49:M49"/>
    <mergeCell ref="N49:O49"/>
    <mergeCell ref="B50:E50"/>
    <mergeCell ref="F50:I50"/>
    <mergeCell ref="J50:M50"/>
    <mergeCell ref="N50:O50"/>
    <mergeCell ref="B51:E51"/>
    <mergeCell ref="F51:I51"/>
    <mergeCell ref="J51:M51"/>
    <mergeCell ref="N51:O51"/>
    <mergeCell ref="B52:E52"/>
    <mergeCell ref="F52:I52"/>
    <mergeCell ref="J52:M52"/>
    <mergeCell ref="N52:O52"/>
    <mergeCell ref="B53:E53"/>
    <mergeCell ref="F53:I53"/>
    <mergeCell ref="J53:M53"/>
    <mergeCell ref="N53:O53"/>
    <mergeCell ref="B54:E54"/>
    <mergeCell ref="F54:I54"/>
    <mergeCell ref="J54:M54"/>
    <mergeCell ref="N54:O54"/>
    <mergeCell ref="B55:E55"/>
    <mergeCell ref="F55:I55"/>
    <mergeCell ref="J55:M55"/>
    <mergeCell ref="N55:O55"/>
    <mergeCell ref="B56:E56"/>
    <mergeCell ref="F56:I56"/>
    <mergeCell ref="J56:M56"/>
    <mergeCell ref="N56:O56"/>
    <mergeCell ref="B57:E57"/>
    <mergeCell ref="F57:I57"/>
    <mergeCell ref="J57:M57"/>
    <mergeCell ref="N57:O57"/>
    <mergeCell ref="B58:E58"/>
    <mergeCell ref="F58:I58"/>
    <mergeCell ref="J58:M58"/>
    <mergeCell ref="N58:O58"/>
    <mergeCell ref="B59:E59"/>
    <mergeCell ref="F59:O59"/>
    <mergeCell ref="A60:C60"/>
    <mergeCell ref="D60:O60"/>
    <mergeCell ref="A61:C61"/>
    <mergeCell ref="D61:O61"/>
    <mergeCell ref="A47:A59"/>
    <mergeCell ref="C10:C11"/>
    <mergeCell ref="C14:C15"/>
    <mergeCell ref="C27:C28"/>
    <mergeCell ref="C34:C35"/>
    <mergeCell ref="J10:J11"/>
    <mergeCell ref="J14:J15"/>
    <mergeCell ref="M10:M11"/>
    <mergeCell ref="M14:M15"/>
    <mergeCell ref="O12:O13"/>
    <mergeCell ref="O16:O17"/>
    <mergeCell ref="O20:O21"/>
    <mergeCell ref="O29:O30"/>
    <mergeCell ref="O36:O37"/>
    <mergeCell ref="Q3:Q4"/>
    <mergeCell ref="Q12:Q13"/>
    <mergeCell ref="Q19:Q21"/>
    <mergeCell ref="R12:R13"/>
    <mergeCell ref="W47:W48"/>
    <mergeCell ref="D10:E11"/>
    <mergeCell ref="F10:G11"/>
    <mergeCell ref="H10:I11"/>
    <mergeCell ref="A8:B17"/>
    <mergeCell ref="K10:L11"/>
    <mergeCell ref="K14:L15"/>
    <mergeCell ref="D14:E15"/>
    <mergeCell ref="F14:G15"/>
    <mergeCell ref="H14:I15"/>
    <mergeCell ref="A18:B21"/>
    <mergeCell ref="A32:B37"/>
    <mergeCell ref="A25:B30"/>
    <mergeCell ref="A22:B24"/>
    <mergeCell ref="D27:H28"/>
    <mergeCell ref="I27:M28"/>
    <mergeCell ref="D34:H35"/>
    <mergeCell ref="I34:M35"/>
    <mergeCell ref="M20:N21"/>
    <mergeCell ref="N40:O42"/>
    <mergeCell ref="A43:B46"/>
    <mergeCell ref="A38:B42"/>
  </mergeCells>
  <conditionalFormatting sqref="D12:E12">
    <cfRule type="expression" dxfId="0" priority="26">
      <formula>IF(AND($E$5=$AC$4,$D$12&lt;6000),TRUE)</formula>
    </cfRule>
    <cfRule type="expression" dxfId="0" priority="27">
      <formula>IF(AND(OR($E$5=$V$4,$E$5=$AB$4),$D$12&lt;4000),TRUE)</formula>
    </cfRule>
    <cfRule type="expression" dxfId="0" priority="28">
      <formula>IF(AND(OR($E$5=$U$4,$E$5=$AA$4),$D$12&lt;3000),TRUE)</formula>
    </cfRule>
    <cfRule type="expression" dxfId="0" priority="29">
      <formula>IF(AND(OR($E$5=$R$4,$E$5=$S$4,$E$5=$T$4,$E$5=$W$4,$E$5=$X$4,$E$5=$Y$4,$E$5=$Z$4),$D$12&lt;2000),TRUE)</formula>
    </cfRule>
  </conditionalFormatting>
  <conditionalFormatting sqref="D13:E13">
    <cfRule type="expression" dxfId="0" priority="22">
      <formula>IF(AND($E$5=$AC$4,$D$13&lt;6000),TRUE)</formula>
    </cfRule>
    <cfRule type="expression" dxfId="0" priority="23">
      <formula>IF(AND(OR($E$5=$V$4,$E$5=$AB$4),$D$13&lt;4000),TRUE)</formula>
    </cfRule>
    <cfRule type="expression" dxfId="0" priority="24">
      <formula>IF(AND(OR($E$5=$U$4,$E$5=$AA$4),$D$13&lt;3000),TRUE)</formula>
    </cfRule>
    <cfRule type="expression" dxfId="0" priority="25">
      <formula>IF(AND(OR($E$5=$R$4,$E$5=$S$4,$E$5=$T$4,$E$5=$W$4,$E$5=$X$4,$E$5=$Y$4,$E$5=$Z$4),$D$13&lt;2000),TRUE)</formula>
    </cfRule>
  </conditionalFormatting>
  <conditionalFormatting sqref="N29">
    <cfRule type="expression" dxfId="0" priority="13">
      <formula>"if($N$29&lt;0,true)"</formula>
    </cfRule>
  </conditionalFormatting>
  <conditionalFormatting sqref="N30">
    <cfRule type="expression" dxfId="0" priority="12">
      <formula>"if($N$30&lt;0,true)"</formula>
    </cfRule>
  </conditionalFormatting>
  <conditionalFormatting sqref="N36">
    <cfRule type="expression" dxfId="0" priority="17">
      <formula>IF(ABS($N$36-$N$37)&gt;0.2,TRUE)</formula>
    </cfRule>
  </conditionalFormatting>
  <conditionalFormatting sqref="N37">
    <cfRule type="expression" dxfId="0" priority="16">
      <formula>IF(ABS($N$36-$N$37)&gt;0.2,TRUE)</formula>
    </cfRule>
  </conditionalFormatting>
  <conditionalFormatting sqref="F49:I49">
    <cfRule type="expression" dxfId="1" priority="9">
      <formula>IF($R$49="有",TRUE)</formula>
    </cfRule>
  </conditionalFormatting>
  <conditionalFormatting sqref="F50:I50">
    <cfRule type="expression" dxfId="1" priority="8">
      <formula>IF($R$50="有",TRUE)</formula>
    </cfRule>
  </conditionalFormatting>
  <conditionalFormatting sqref="F51:I51">
    <cfRule type="expression" dxfId="1" priority="7">
      <formula>IF($R$51="有",TRUE)</formula>
    </cfRule>
  </conditionalFormatting>
  <conditionalFormatting sqref="F52:I52">
    <cfRule type="expression" dxfId="1" priority="6">
      <formula>IF($R$52="有",TRUE)</formula>
    </cfRule>
  </conditionalFormatting>
  <conditionalFormatting sqref="F53:I53">
    <cfRule type="expression" dxfId="1" priority="5">
      <formula>IF($R$53="有",TRUE)</formula>
    </cfRule>
  </conditionalFormatting>
  <conditionalFormatting sqref="F54:I54">
    <cfRule type="expression" dxfId="1" priority="4">
      <formula>IF($R$54="有",TRUE)</formula>
    </cfRule>
  </conditionalFormatting>
  <conditionalFormatting sqref="F55:I55">
    <cfRule type="expression" dxfId="1" priority="3">
      <formula>IF($R$55="有",TRUE)</formula>
    </cfRule>
  </conditionalFormatting>
  <conditionalFormatting sqref="F56:I56">
    <cfRule type="expression" dxfId="1" priority="2">
      <formula>IF($R$56="有",TRUE)</formula>
    </cfRule>
  </conditionalFormatting>
  <conditionalFormatting sqref="F57:I57">
    <cfRule type="expression" dxfId="1" priority="1">
      <formula>IF($R$57="有",TRUE)</formula>
    </cfRule>
  </conditionalFormatting>
  <conditionalFormatting sqref="F59">
    <cfRule type="expression" dxfId="0" priority="14">
      <formula>IF($F$59&lt;0,TRUE)</formula>
    </cfRule>
    <cfRule type="expression" dxfId="0" priority="15">
      <formula>IF($F$59&gt;$S$48,TRUE)</formula>
    </cfRule>
  </conditionalFormatting>
  <conditionalFormatting sqref="N12:N13">
    <cfRule type="expression" dxfId="0" priority="20">
      <formula>IF(ABS($N$12-$N$13)&gt;20,TRUE)</formula>
    </cfRule>
  </conditionalFormatting>
  <conditionalFormatting sqref="N29:N30">
    <cfRule type="expression" dxfId="0" priority="18">
      <formula>IF(ABS($N$29-$N$30)&gt;0.2,TRUE)</formula>
    </cfRule>
  </conditionalFormatting>
  <conditionalFormatting sqref="O12:P13">
    <cfRule type="cellIs" dxfId="2" priority="21" operator="lessThan">
      <formula>2600</formula>
    </cfRule>
  </conditionalFormatting>
  <conditionalFormatting sqref="O20:P21">
    <cfRule type="cellIs" dxfId="2" priority="10" operator="greaterThan">
      <formula>43</formula>
    </cfRule>
  </conditionalFormatting>
  <conditionalFormatting sqref="O29:P30">
    <cfRule type="expression" dxfId="0" priority="11">
      <formula>IF($O$29&lt;0,TRUE)</formula>
    </cfRule>
  </conditionalFormatting>
  <dataValidations count="2">
    <dataValidation type="list" allowBlank="1" showInputMessage="1" showErrorMessage="1" sqref="E5:F5">
      <formula1>$R$4:$AC$4</formula1>
    </dataValidation>
    <dataValidation type="list" allowBlank="1" showInputMessage="1" showErrorMessage="1" sqref="T1 T2 N8 K12 K13 K16 K17">
      <formula1>"15,16,17,18,19,20,21,22,23,24,25"</formula1>
    </dataValidation>
  </dataValidations>
  <pageMargins left="0.25" right="0.25" top="0.75" bottom="0.75" header="0.298611111111111" footer="0.298611111111111"/>
  <pageSetup paperSize="9" scale="97" orientation="portrait"/>
  <headerFooter/>
  <rowBreaks count="1" manualBreakCount="1">
    <brk id="30" max="14" man="1"/>
  </rowBreaks>
  <drawing r:id="rId1"/>
  <legacyDrawing r:id="rId2"/>
  <controls>
    <mc:AlternateContent xmlns:mc="http://schemas.openxmlformats.org/markup-compatibility/2006">
      <mc:Choice Requires="x14">
        <control shapeId="9217" r:id="rId3" name="CommandButton1">
          <controlPr defaultSize="0" r:id="rId4">
            <anchor moveWithCells="1">
              <from>
                <xdr:col>15</xdr:col>
                <xdr:colOff>66675</xdr:colOff>
                <xdr:row>10</xdr:row>
                <xdr:rowOff>38100</xdr:rowOff>
              </from>
              <to>
                <xdr:col>15</xdr:col>
                <xdr:colOff>514350</xdr:colOff>
                <xdr:row>11</xdr:row>
                <xdr:rowOff>57150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r:id="rId6">
            <anchor moveWithCells="1">
              <from>
                <xdr:col>15</xdr:col>
                <xdr:colOff>85725</xdr:colOff>
                <xdr:row>19</xdr:row>
                <xdr:rowOff>66675</xdr:rowOff>
              </from>
              <to>
                <xdr:col>15</xdr:col>
                <xdr:colOff>542925</xdr:colOff>
                <xdr:row>20</xdr:row>
                <xdr:rowOff>307975</xdr:rowOff>
              </to>
            </anchor>
          </controlPr>
        </control>
      </mc:Choice>
      <mc:Fallback>
        <control shapeId="9218" r:id="rId5" name="CommandButton2"/>
      </mc:Fallback>
    </mc:AlternateContent>
    <mc:AlternateContent xmlns:mc="http://schemas.openxmlformats.org/markup-compatibility/2006">
      <mc:Choice Requires="x14">
        <control shapeId="9219" r:id="rId7" name="CommandButton3">
          <controlPr defaultSize="0" r:id="rId8">
            <anchor moveWithCells="1">
              <from>
                <xdr:col>15</xdr:col>
                <xdr:colOff>38100</xdr:colOff>
                <xdr:row>22</xdr:row>
                <xdr:rowOff>38100</xdr:rowOff>
              </from>
              <to>
                <xdr:col>16</xdr:col>
                <xdr:colOff>18415</xdr:colOff>
                <xdr:row>23</xdr:row>
                <xdr:rowOff>257175</xdr:rowOff>
              </to>
            </anchor>
          </controlPr>
        </control>
      </mc:Choice>
      <mc:Fallback>
        <control shapeId="9219" r:id="rId7" name="CommandButton3"/>
      </mc:Fallback>
    </mc:AlternateContent>
    <mc:AlternateContent xmlns:mc="http://schemas.openxmlformats.org/markup-compatibility/2006">
      <mc:Choice Requires="x14">
        <control shapeId="9220" r:id="rId9" name="CommandButton4">
          <controlPr defaultSize="0" r:id="rId10">
            <anchor moveWithCells="1">
              <from>
                <xdr:col>15</xdr:col>
                <xdr:colOff>9525</xdr:colOff>
                <xdr:row>28</xdr:row>
                <xdr:rowOff>76200</xdr:rowOff>
              </from>
              <to>
                <xdr:col>15</xdr:col>
                <xdr:colOff>544195</xdr:colOff>
                <xdr:row>29</xdr:row>
                <xdr:rowOff>209550</xdr:rowOff>
              </to>
            </anchor>
          </controlPr>
        </control>
      </mc:Choice>
      <mc:Fallback>
        <control shapeId="9220" r:id="rId9" name="CommandButton4"/>
      </mc:Fallback>
    </mc:AlternateContent>
    <mc:AlternateContent xmlns:mc="http://schemas.openxmlformats.org/markup-compatibility/2006">
      <mc:Choice Requires="x14">
        <control shapeId="9221" r:id="rId11" name="CommandButton5">
          <controlPr defaultSize="0" r:id="rId12">
            <anchor moveWithCells="1">
              <from>
                <xdr:col>15</xdr:col>
                <xdr:colOff>47625</xdr:colOff>
                <xdr:row>35</xdr:row>
                <xdr:rowOff>57150</xdr:rowOff>
              </from>
              <to>
                <xdr:col>15</xdr:col>
                <xdr:colOff>486410</xdr:colOff>
                <xdr:row>36</xdr:row>
                <xdr:rowOff>215900</xdr:rowOff>
              </to>
            </anchor>
          </controlPr>
        </control>
      </mc:Choice>
      <mc:Fallback>
        <control shapeId="9221" r:id="rId11" name="CommandButton5"/>
      </mc:Fallback>
    </mc:AlternateContent>
    <mc:AlternateContent xmlns:mc="http://schemas.openxmlformats.org/markup-compatibility/2006">
      <mc:Choice Requires="x14">
        <control shapeId="9222" r:id="rId13" name="CommandButton6">
          <controlPr defaultSize="0" r:id="rId14">
            <anchor moveWithCells="1">
              <from>
                <xdr:col>15</xdr:col>
                <xdr:colOff>28575</xdr:colOff>
                <xdr:row>39</xdr:row>
                <xdr:rowOff>76200</xdr:rowOff>
              </from>
              <to>
                <xdr:col>15</xdr:col>
                <xdr:colOff>495300</xdr:colOff>
                <xdr:row>41</xdr:row>
                <xdr:rowOff>76835</xdr:rowOff>
              </to>
            </anchor>
          </controlPr>
        </control>
      </mc:Choice>
      <mc:Fallback>
        <control shapeId="9222" r:id="rId13" name="CommandButton6"/>
      </mc:Fallback>
    </mc:AlternateContent>
    <mc:AlternateContent xmlns:mc="http://schemas.openxmlformats.org/markup-compatibility/2006">
      <mc:Choice Requires="x14">
        <control shapeId="9223" r:id="rId15" name="CommandButton7">
          <controlPr defaultSize="0" r:id="rId16">
            <anchor moveWithCells="1">
              <from>
                <xdr:col>16</xdr:col>
                <xdr:colOff>0</xdr:colOff>
                <xdr:row>2</xdr:row>
                <xdr:rowOff>28575</xdr:rowOff>
              </from>
              <to>
                <xdr:col>17</xdr:col>
                <xdr:colOff>428625</xdr:colOff>
                <xdr:row>3</xdr:row>
                <xdr:rowOff>256540</xdr:rowOff>
              </to>
            </anchor>
          </controlPr>
        </control>
      </mc:Choice>
      <mc:Fallback>
        <control shapeId="9223" r:id="rId15" name="CommandButton7"/>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36"/>
  <sheetViews>
    <sheetView tabSelected="1" view="pageBreakPreview" zoomScaleNormal="100" workbookViewId="0">
      <selection activeCell="L14" sqref="L14"/>
    </sheetView>
  </sheetViews>
  <sheetFormatPr defaultColWidth="9" defaultRowHeight="13.5"/>
  <cols>
    <col min="1" max="1" width="10.25" customWidth="1"/>
    <col min="2" max="2" width="6.125" customWidth="1"/>
    <col min="4" max="4" width="9.125" customWidth="1"/>
    <col min="5" max="5" width="10.875" customWidth="1"/>
    <col min="7" max="7" width="12.625"/>
    <col min="11" max="11" width="10.75" customWidth="1"/>
    <col min="12" max="12" width="8.875" customWidth="1"/>
  </cols>
  <sheetData>
    <row r="1" ht="19" customHeight="1" spans="1:9">
      <c r="A1" s="2" t="s">
        <v>80</v>
      </c>
      <c r="B1" s="3" t="s">
        <v>75</v>
      </c>
      <c r="C1" s="3"/>
      <c r="D1" s="4"/>
      <c r="E1" s="5"/>
      <c r="F1" s="6" t="s">
        <v>240</v>
      </c>
      <c r="G1" s="6"/>
      <c r="H1" s="6"/>
      <c r="I1" s="6"/>
    </row>
    <row r="2" ht="27" customHeight="1" spans="5:9">
      <c r="E2" s="5"/>
      <c r="F2" s="7" t="s">
        <v>241</v>
      </c>
      <c r="G2" s="7"/>
      <c r="H2" s="7"/>
      <c r="I2" s="7"/>
    </row>
    <row r="3" spans="5:9">
      <c r="E3" s="5"/>
      <c r="F3" s="7" t="s">
        <v>242</v>
      </c>
      <c r="G3" s="7"/>
      <c r="H3" s="7"/>
      <c r="I3" s="7"/>
    </row>
    <row r="4" s="1" customFormat="1" ht="9" customHeight="1"/>
    <row r="5" ht="41" customHeight="1" spans="1:11">
      <c r="A5" s="8" t="s">
        <v>243</v>
      </c>
      <c r="B5" s="8"/>
      <c r="C5" s="8"/>
      <c r="D5" s="8"/>
      <c r="E5" s="8"/>
      <c r="F5" s="8"/>
      <c r="G5" s="8"/>
      <c r="H5" s="8"/>
      <c r="I5" s="8"/>
      <c r="J5" s="38" t="s">
        <v>244</v>
      </c>
      <c r="K5" s="39" t="s">
        <v>43</v>
      </c>
    </row>
    <row r="6" ht="9" customHeight="1" spans="1:11">
      <c r="A6" s="9"/>
      <c r="B6" s="9"/>
      <c r="C6" s="9"/>
      <c r="D6" s="9"/>
      <c r="E6" s="9"/>
      <c r="F6" s="9"/>
      <c r="G6" s="9"/>
      <c r="H6" s="9"/>
      <c r="I6" s="9"/>
      <c r="K6" s="39"/>
    </row>
    <row r="7" ht="21" customHeight="1" spans="1:9">
      <c r="A7" s="10" t="s">
        <v>2</v>
      </c>
      <c r="B7" s="10"/>
      <c r="C7" s="11" t="s">
        <v>44</v>
      </c>
      <c r="D7" s="11"/>
      <c r="E7" s="11"/>
      <c r="F7" s="11"/>
      <c r="G7" s="11"/>
      <c r="H7" s="11"/>
      <c r="I7" s="11"/>
    </row>
    <row r="8" ht="17" customHeight="1" spans="1:11">
      <c r="A8" s="10" t="s">
        <v>3</v>
      </c>
      <c r="B8" s="10"/>
      <c r="C8" s="12" t="s">
        <v>45</v>
      </c>
      <c r="D8" s="12"/>
      <c r="E8" s="12"/>
      <c r="F8" s="12"/>
      <c r="G8" s="10" t="s">
        <v>10</v>
      </c>
      <c r="H8" s="10" t="s">
        <v>48</v>
      </c>
      <c r="I8" s="10"/>
      <c r="J8" s="39"/>
      <c r="K8" s="5"/>
    </row>
    <row r="9" ht="17" customHeight="1" spans="1:11">
      <c r="A9" s="10" t="s">
        <v>5</v>
      </c>
      <c r="B9" s="10"/>
      <c r="C9" s="12" t="s">
        <v>176</v>
      </c>
      <c r="D9" s="12"/>
      <c r="E9" s="12"/>
      <c r="F9" s="12"/>
      <c r="G9" s="10" t="s">
        <v>245</v>
      </c>
      <c r="H9" s="10" t="s">
        <v>176</v>
      </c>
      <c r="I9" s="10"/>
      <c r="J9" s="39"/>
      <c r="K9" s="5"/>
    </row>
    <row r="10" ht="17" customHeight="1" spans="1:11">
      <c r="A10" s="10" t="s">
        <v>4</v>
      </c>
      <c r="B10" s="10"/>
      <c r="C10" s="12" t="s">
        <v>45</v>
      </c>
      <c r="D10" s="12"/>
      <c r="E10" s="12"/>
      <c r="F10" s="12"/>
      <c r="G10" s="10" t="s">
        <v>56</v>
      </c>
      <c r="H10" s="10" t="s">
        <v>73</v>
      </c>
      <c r="I10" s="10"/>
      <c r="J10" s="39"/>
      <c r="K10" s="5"/>
    </row>
    <row r="11" ht="17" customHeight="1" spans="1:10">
      <c r="A11" s="10" t="s">
        <v>57</v>
      </c>
      <c r="B11" s="10"/>
      <c r="C11" s="13" t="s">
        <v>74</v>
      </c>
      <c r="D11" s="13"/>
      <c r="E11" s="13"/>
      <c r="F11" s="13"/>
      <c r="G11" s="14" t="s">
        <v>59</v>
      </c>
      <c r="H11" s="15">
        <v>44015</v>
      </c>
      <c r="I11" s="15"/>
      <c r="J11" s="40"/>
    </row>
    <row r="12" ht="17" customHeight="1" spans="1:10">
      <c r="A12" s="10" t="s">
        <v>246</v>
      </c>
      <c r="B12" s="10"/>
      <c r="C12" s="16" t="s">
        <v>72</v>
      </c>
      <c r="D12" s="16"/>
      <c r="E12" s="16"/>
      <c r="F12" s="16"/>
      <c r="G12" s="14" t="s">
        <v>118</v>
      </c>
      <c r="H12" s="15">
        <v>44019</v>
      </c>
      <c r="I12" s="15"/>
      <c r="J12" s="40"/>
    </row>
    <row r="13" ht="20" customHeight="1" spans="1:10">
      <c r="A13" s="10" t="s">
        <v>247</v>
      </c>
      <c r="B13" s="10"/>
      <c r="C13" s="17" t="s">
        <v>102</v>
      </c>
      <c r="D13" s="18" t="str">
        <f>'石子原始记录（新）'!E5&amp;'石子原始记录（新）'!G5</f>
        <v>5-25mm</v>
      </c>
      <c r="E13" s="18"/>
      <c r="F13" s="19"/>
      <c r="G13" s="14" t="s">
        <v>248</v>
      </c>
      <c r="H13" s="15">
        <f>H12</f>
        <v>44019</v>
      </c>
      <c r="I13" s="15"/>
      <c r="J13" s="40"/>
    </row>
    <row r="14" ht="20" customHeight="1" spans="1:10">
      <c r="A14" s="10" t="s">
        <v>249</v>
      </c>
      <c r="B14" s="10"/>
      <c r="C14" s="12" t="s">
        <v>250</v>
      </c>
      <c r="D14" s="12"/>
      <c r="E14" s="12"/>
      <c r="F14" s="12"/>
      <c r="G14" s="12"/>
      <c r="H14" s="12"/>
      <c r="I14" s="12"/>
      <c r="J14" s="41"/>
    </row>
    <row r="15" ht="20" customHeight="1" spans="1:10">
      <c r="A15" s="10" t="s">
        <v>114</v>
      </c>
      <c r="B15" s="10"/>
      <c r="C15" s="12" t="s">
        <v>115</v>
      </c>
      <c r="D15" s="12"/>
      <c r="E15" s="12"/>
      <c r="F15" s="12"/>
      <c r="G15" s="12"/>
      <c r="H15" s="12"/>
      <c r="I15" s="12"/>
      <c r="J15" s="41"/>
    </row>
    <row r="16" ht="20" customHeight="1" spans="1:11">
      <c r="A16" s="10" t="s">
        <v>251</v>
      </c>
      <c r="B16" s="10"/>
      <c r="C16" s="10" t="s">
        <v>252</v>
      </c>
      <c r="D16" s="10"/>
      <c r="E16" s="10"/>
      <c r="F16" s="10"/>
      <c r="G16" s="10" t="s">
        <v>253</v>
      </c>
      <c r="H16" s="10" t="s">
        <v>254</v>
      </c>
      <c r="I16" s="10"/>
      <c r="J16" s="39"/>
      <c r="K16" s="42"/>
    </row>
    <row r="17" ht="20" customHeight="1" spans="1:11">
      <c r="A17" s="20" t="s">
        <v>255</v>
      </c>
      <c r="B17" s="10"/>
      <c r="C17" s="10" t="s">
        <v>46</v>
      </c>
      <c r="D17" s="10"/>
      <c r="E17" s="10"/>
      <c r="F17" s="10"/>
      <c r="G17" s="10">
        <f>'石子原始记录（新）'!O12</f>
        <v>2740</v>
      </c>
      <c r="H17" s="10" t="s">
        <v>46</v>
      </c>
      <c r="I17" s="10"/>
      <c r="J17" s="39"/>
      <c r="K17" s="39"/>
    </row>
    <row r="18" ht="20" customHeight="1" spans="1:10">
      <c r="A18" s="10" t="s">
        <v>256</v>
      </c>
      <c r="B18" s="10"/>
      <c r="C18" s="10" t="s">
        <v>46</v>
      </c>
      <c r="D18" s="10"/>
      <c r="E18" s="10"/>
      <c r="F18" s="10"/>
      <c r="G18" s="10">
        <f>'石子原始记录（新）'!M20</f>
        <v>1690</v>
      </c>
      <c r="H18" s="10" t="s">
        <v>46</v>
      </c>
      <c r="I18" s="10"/>
      <c r="J18" s="39"/>
    </row>
    <row r="19" ht="20" customHeight="1" spans="1:10">
      <c r="A19" s="10" t="s">
        <v>257</v>
      </c>
      <c r="B19" s="10"/>
      <c r="C19" s="10" t="s">
        <v>46</v>
      </c>
      <c r="D19" s="10"/>
      <c r="E19" s="10"/>
      <c r="F19" s="10"/>
      <c r="G19" s="10">
        <f>'石子原始记录（新）'!O20</f>
        <v>38</v>
      </c>
      <c r="H19" s="10" t="s">
        <v>46</v>
      </c>
      <c r="I19" s="10"/>
      <c r="J19" s="39"/>
    </row>
    <row r="20" ht="30" customHeight="1" spans="1:10">
      <c r="A20" s="10" t="s">
        <v>258</v>
      </c>
      <c r="B20" s="10"/>
      <c r="C20" s="21" t="s">
        <v>259</v>
      </c>
      <c r="D20" s="22"/>
      <c r="E20" s="22"/>
      <c r="F20" s="22"/>
      <c r="G20" s="23">
        <f>'石子原始记录（新）'!O29</f>
        <v>0.9</v>
      </c>
      <c r="H20" s="10" t="s">
        <v>260</v>
      </c>
      <c r="I20" s="10"/>
      <c r="J20" s="39"/>
    </row>
    <row r="21" ht="30" customHeight="1" spans="1:10">
      <c r="A21" s="10" t="s">
        <v>261</v>
      </c>
      <c r="B21" s="10"/>
      <c r="C21" s="21" t="s">
        <v>262</v>
      </c>
      <c r="D21" s="22"/>
      <c r="E21" s="22"/>
      <c r="F21" s="22"/>
      <c r="G21" s="24">
        <f>'石子原始记录（新）'!O36</f>
        <v>0.1</v>
      </c>
      <c r="H21" s="10" t="s">
        <v>260</v>
      </c>
      <c r="I21" s="10"/>
      <c r="J21" s="39"/>
    </row>
    <row r="22" ht="24" customHeight="1" spans="1:10">
      <c r="A22" s="10" t="s">
        <v>173</v>
      </c>
      <c r="B22" s="10"/>
      <c r="C22" s="20" t="s">
        <v>263</v>
      </c>
      <c r="D22" s="10"/>
      <c r="E22" s="10"/>
      <c r="F22" s="10"/>
      <c r="G22" s="23">
        <f>'石子原始记录（新）'!N40</f>
        <v>4.9</v>
      </c>
      <c r="H22" s="10" t="s">
        <v>260</v>
      </c>
      <c r="I22" s="10"/>
      <c r="J22" s="39"/>
    </row>
    <row r="23" ht="28" customHeight="1" spans="1:10">
      <c r="A23" s="10" t="s">
        <v>264</v>
      </c>
      <c r="B23" s="10"/>
      <c r="C23" s="21" t="s">
        <v>265</v>
      </c>
      <c r="D23" s="22"/>
      <c r="E23" s="22"/>
      <c r="F23" s="22"/>
      <c r="G23" s="23">
        <f>'石子原始记录（新）'!N24</f>
        <v>5</v>
      </c>
      <c r="H23" s="10" t="s">
        <v>260</v>
      </c>
      <c r="I23" s="10"/>
      <c r="J23" s="39"/>
    </row>
    <row r="24" ht="20" customHeight="1" spans="1:10">
      <c r="A24" s="10" t="s">
        <v>266</v>
      </c>
      <c r="B24" s="10"/>
      <c r="C24" s="10" t="s">
        <v>46</v>
      </c>
      <c r="D24" s="10"/>
      <c r="E24" s="10"/>
      <c r="F24" s="10"/>
      <c r="G24" s="10" t="s">
        <v>46</v>
      </c>
      <c r="H24" s="10" t="s">
        <v>46</v>
      </c>
      <c r="I24" s="10"/>
      <c r="J24" s="39"/>
    </row>
    <row r="25" ht="18" customHeight="1" spans="1:10">
      <c r="A25" s="22" t="s">
        <v>267</v>
      </c>
      <c r="B25" s="22"/>
      <c r="C25" s="10" t="s">
        <v>268</v>
      </c>
      <c r="D25" s="10"/>
      <c r="E25" s="10" t="s">
        <v>190</v>
      </c>
      <c r="F25" s="10"/>
      <c r="G25" s="10" t="s">
        <v>191</v>
      </c>
      <c r="H25" s="10" t="s">
        <v>254</v>
      </c>
      <c r="I25" s="10"/>
      <c r="J25" s="39"/>
    </row>
    <row r="26" ht="18" customHeight="1" spans="1:10">
      <c r="A26" s="22"/>
      <c r="B26" s="22"/>
      <c r="C26" s="25">
        <f>'石子原始记录（新）'!T49</f>
        <v>31.5</v>
      </c>
      <c r="D26" s="25"/>
      <c r="E26" s="10">
        <f>'石子原始记录（新）'!U49</f>
        <v>0</v>
      </c>
      <c r="F26" s="10"/>
      <c r="G26" s="23">
        <f>'石子原始记录（新）'!V49</f>
        <v>0</v>
      </c>
      <c r="H26" s="26" t="s">
        <v>46</v>
      </c>
      <c r="I26" s="43"/>
      <c r="J26" s="39"/>
    </row>
    <row r="27" ht="18" customHeight="1" spans="1:10">
      <c r="A27" s="22"/>
      <c r="B27" s="22"/>
      <c r="C27" s="25">
        <f>'石子原始记录（新）'!T50</f>
        <v>26.5</v>
      </c>
      <c r="D27" s="25"/>
      <c r="E27" s="10" t="str">
        <f>'石子原始记录（新）'!U50</f>
        <v>0～5</v>
      </c>
      <c r="F27" s="10"/>
      <c r="G27" s="23">
        <f>'石子原始记录（新）'!V50</f>
        <v>1</v>
      </c>
      <c r="H27" s="27"/>
      <c r="I27" s="44"/>
      <c r="J27" s="39"/>
    </row>
    <row r="28" ht="18" customHeight="1" spans="1:10">
      <c r="A28" s="22"/>
      <c r="B28" s="22"/>
      <c r="C28" s="25">
        <f>'石子原始记录（新）'!T51</f>
        <v>16</v>
      </c>
      <c r="D28" s="25"/>
      <c r="E28" s="10" t="str">
        <f>'石子原始记录（新）'!U51</f>
        <v>30～70</v>
      </c>
      <c r="F28" s="10"/>
      <c r="G28" s="23">
        <f>'石子原始记录（新）'!V51</f>
        <v>70</v>
      </c>
      <c r="H28" s="27"/>
      <c r="I28" s="44"/>
      <c r="J28" s="39"/>
    </row>
    <row r="29" ht="18" customHeight="1" spans="1:10">
      <c r="A29" s="22"/>
      <c r="B29" s="22"/>
      <c r="C29" s="28">
        <f>'石子原始记录（新）'!T52</f>
        <v>4.75</v>
      </c>
      <c r="D29" s="28"/>
      <c r="E29" s="10" t="str">
        <f>'石子原始记录（新）'!U52</f>
        <v>90～100</v>
      </c>
      <c r="F29" s="10"/>
      <c r="G29" s="29">
        <f>'石子原始记录（新）'!V52</f>
        <v>95</v>
      </c>
      <c r="H29" s="27"/>
      <c r="I29" s="44"/>
      <c r="J29" s="39"/>
    </row>
    <row r="30" ht="18" customHeight="1" spans="1:10">
      <c r="A30" s="22"/>
      <c r="B30" s="22"/>
      <c r="C30" s="28">
        <f>'石子原始记录（新）'!T53</f>
        <v>2.36</v>
      </c>
      <c r="D30" s="28"/>
      <c r="E30" s="10" t="str">
        <f>'石子原始记录（新）'!U53</f>
        <v>95～100</v>
      </c>
      <c r="F30" s="10"/>
      <c r="G30" s="23">
        <f>'石子原始记录（新）'!V53</f>
        <v>99</v>
      </c>
      <c r="H30" s="27"/>
      <c r="I30" s="44"/>
      <c r="J30" s="39"/>
    </row>
    <row r="31" ht="18" customHeight="1" spans="1:10">
      <c r="A31" s="22"/>
      <c r="B31" s="22"/>
      <c r="C31" s="28" t="str">
        <f>'石子原始记录（新）'!T54</f>
        <v>—</v>
      </c>
      <c r="D31" s="28"/>
      <c r="E31" s="10" t="str">
        <f>'石子原始记录（新）'!U54</f>
        <v>—</v>
      </c>
      <c r="F31" s="10"/>
      <c r="G31" s="23" t="str">
        <f>'石子原始记录（新）'!V54</f>
        <v>—</v>
      </c>
      <c r="H31" s="27"/>
      <c r="I31" s="44"/>
      <c r="J31" s="39"/>
    </row>
    <row r="32" ht="33" customHeight="1" spans="1:10">
      <c r="A32" s="10" t="s">
        <v>269</v>
      </c>
      <c r="B32" s="30" t="s">
        <v>270</v>
      </c>
      <c r="C32" s="31"/>
      <c r="D32" s="31"/>
      <c r="E32" s="31"/>
      <c r="F32" s="31"/>
      <c r="G32" s="31"/>
      <c r="H32" s="31"/>
      <c r="I32" s="45"/>
      <c r="J32" s="46"/>
    </row>
    <row r="33" ht="15" customHeight="1" spans="1:10">
      <c r="A33" s="10" t="s">
        <v>271</v>
      </c>
      <c r="B33" s="32" t="s">
        <v>176</v>
      </c>
      <c r="C33" s="3"/>
      <c r="D33" s="3"/>
      <c r="E33" s="3"/>
      <c r="F33" s="3"/>
      <c r="G33" s="3"/>
      <c r="H33" s="3"/>
      <c r="I33" s="4"/>
      <c r="J33" s="41"/>
    </row>
    <row r="34" ht="51" customHeight="1" spans="1:10">
      <c r="A34" s="10" t="s">
        <v>272</v>
      </c>
      <c r="B34" s="33" t="s">
        <v>273</v>
      </c>
      <c r="C34" s="34"/>
      <c r="D34" s="34"/>
      <c r="E34" s="34"/>
      <c r="F34" s="34"/>
      <c r="G34" s="34"/>
      <c r="H34" s="34"/>
      <c r="I34" s="47"/>
      <c r="J34" s="46"/>
    </row>
    <row r="35" ht="42" customHeight="1" spans="1:8">
      <c r="A35" s="35" t="s">
        <v>274</v>
      </c>
      <c r="B35" s="36"/>
      <c r="C35" s="36"/>
      <c r="D35" s="36"/>
      <c r="E35" s="37" t="s">
        <v>275</v>
      </c>
      <c r="F35" s="36"/>
      <c r="G35" s="36"/>
      <c r="H35" s="36" t="s">
        <v>276</v>
      </c>
    </row>
    <row r="36" ht="18" customHeight="1" spans="1:9">
      <c r="A36" s="35"/>
      <c r="B36" s="36"/>
      <c r="C36" s="36"/>
      <c r="D36" s="36"/>
      <c r="E36" s="37"/>
      <c r="F36" s="36"/>
      <c r="G36" s="36"/>
      <c r="H36" s="35"/>
      <c r="I36" s="48"/>
    </row>
  </sheetData>
  <mergeCells count="76">
    <mergeCell ref="B1:D1"/>
    <mergeCell ref="F1:I1"/>
    <mergeCell ref="F2:I2"/>
    <mergeCell ref="F3:I3"/>
    <mergeCell ref="A5:I5"/>
    <mergeCell ref="A7:B7"/>
    <mergeCell ref="C7:I7"/>
    <mergeCell ref="A8:B8"/>
    <mergeCell ref="C8:F8"/>
    <mergeCell ref="H8:I8"/>
    <mergeCell ref="A9:B9"/>
    <mergeCell ref="C9:F9"/>
    <mergeCell ref="H9:I9"/>
    <mergeCell ref="A10:B10"/>
    <mergeCell ref="C10:F10"/>
    <mergeCell ref="H10:I10"/>
    <mergeCell ref="A11:B11"/>
    <mergeCell ref="C11:F11"/>
    <mergeCell ref="H11:I11"/>
    <mergeCell ref="A12:B12"/>
    <mergeCell ref="C12:F12"/>
    <mergeCell ref="H12:I12"/>
    <mergeCell ref="A13:B13"/>
    <mergeCell ref="D13:F13"/>
    <mergeCell ref="H13:I13"/>
    <mergeCell ref="A14:B14"/>
    <mergeCell ref="C14:I14"/>
    <mergeCell ref="A15:B15"/>
    <mergeCell ref="C15:I15"/>
    <mergeCell ref="A16:B16"/>
    <mergeCell ref="C16:F16"/>
    <mergeCell ref="H16:I16"/>
    <mergeCell ref="A17:B17"/>
    <mergeCell ref="C17:F17"/>
    <mergeCell ref="H17:I17"/>
    <mergeCell ref="A18:B18"/>
    <mergeCell ref="C18:F18"/>
    <mergeCell ref="H18:I18"/>
    <mergeCell ref="A19:B19"/>
    <mergeCell ref="C19:F19"/>
    <mergeCell ref="H19:I19"/>
    <mergeCell ref="A20:B20"/>
    <mergeCell ref="C20:F20"/>
    <mergeCell ref="H20:I20"/>
    <mergeCell ref="A21:B21"/>
    <mergeCell ref="C21:F21"/>
    <mergeCell ref="H21:I21"/>
    <mergeCell ref="A22:B22"/>
    <mergeCell ref="C22:F22"/>
    <mergeCell ref="H22:I22"/>
    <mergeCell ref="A23:B23"/>
    <mergeCell ref="C23:F23"/>
    <mergeCell ref="H23:I23"/>
    <mergeCell ref="A24:B24"/>
    <mergeCell ref="C24:F24"/>
    <mergeCell ref="H24:I24"/>
    <mergeCell ref="C25:D25"/>
    <mergeCell ref="E25:F25"/>
    <mergeCell ref="H25:I25"/>
    <mergeCell ref="C26:D26"/>
    <mergeCell ref="E26:F26"/>
    <mergeCell ref="C27:D27"/>
    <mergeCell ref="E27:F27"/>
    <mergeCell ref="C28:D28"/>
    <mergeCell ref="E28:F28"/>
    <mergeCell ref="C29:D29"/>
    <mergeCell ref="E29:F29"/>
    <mergeCell ref="C30:D30"/>
    <mergeCell ref="E30:F30"/>
    <mergeCell ref="C31:D31"/>
    <mergeCell ref="E31:F31"/>
    <mergeCell ref="B32:I32"/>
    <mergeCell ref="B33:I33"/>
    <mergeCell ref="B34:I34"/>
    <mergeCell ref="A25:B31"/>
    <mergeCell ref="H26:I31"/>
  </mergeCells>
  <dataValidations count="1">
    <dataValidation type="list" allowBlank="1" showInputMessage="1" showErrorMessage="1" sqref="J8">
      <formula1>"无见证取样送检,有见证取样送检"</formula1>
    </dataValidation>
  </dataValidations>
  <pageMargins left="0.751388888888889" right="0.751388888888889" top="0.236111111111111" bottom="0.550694444444444" header="0.275" footer="0.354166666666667"/>
  <pageSetup paperSize="9" orientation="portrait" horizontalDpi="600"/>
  <headerFooter>
    <oddFooter>&amp;C &amp;R第 &amp;P 页，共 &amp;N 页</oddFooter>
  </headerFooter>
  <drawing r:id="rId1"/>
  <legacyDrawing r:id="rId2"/>
  <controls>
    <mc:AlternateContent xmlns:mc="http://schemas.openxmlformats.org/markup-compatibility/2006">
      <mc:Choice Requires="x14">
        <control shapeId="10245" r:id="rId3" name="ListBox1">
          <controlPr defaultSize="0" r:id="rId4">
            <anchor moveWithCells="1">
              <from>
                <xdr:col>11</xdr:col>
                <xdr:colOff>361950</xdr:colOff>
                <xdr:row>4</xdr:row>
                <xdr:rowOff>95250</xdr:rowOff>
              </from>
              <to>
                <xdr:col>20</xdr:col>
                <xdr:colOff>0</xdr:colOff>
                <xdr:row>11</xdr:row>
                <xdr:rowOff>83185</xdr:rowOff>
              </to>
            </anchor>
          </controlPr>
        </control>
      </mc:Choice>
      <mc:Fallback>
        <control shapeId="10245" r:id="rId3" name="ListBox1"/>
      </mc:Fallback>
    </mc:AlternateContent>
    <mc:AlternateContent xmlns:mc="http://schemas.openxmlformats.org/markup-compatibility/2006">
      <mc:Choice Requires="x14">
        <control shapeId="10246" r:id="rId5" name="TextBox1">
          <controlPr defaultSize="0" r:id="rId6">
            <anchor moveWithCells="1">
              <from>
                <xdr:col>11</xdr:col>
                <xdr:colOff>353060</xdr:colOff>
                <xdr:row>3</xdr:row>
                <xdr:rowOff>0</xdr:rowOff>
              </from>
              <to>
                <xdr:col>19</xdr:col>
                <xdr:colOff>637540</xdr:colOff>
                <xdr:row>4</xdr:row>
                <xdr:rowOff>161925</xdr:rowOff>
              </to>
            </anchor>
          </controlPr>
        </control>
      </mc:Choice>
      <mc:Fallback>
        <control shapeId="10246" r:id="rId5"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委托单位信息</vt:lpstr>
      <vt:lpstr>碎石检测</vt:lpstr>
      <vt:lpstr>委托单</vt:lpstr>
      <vt:lpstr>石子原始记录（新）</vt:lpstr>
      <vt:lpstr>石子检测报告</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d25h</cp:lastModifiedBy>
  <dcterms:created xsi:type="dcterms:W3CDTF">2020-05-29T05:13:00Z</dcterms:created>
  <dcterms:modified xsi:type="dcterms:W3CDTF">2021-12-15T09:36:46Z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2052-11.1.0.11115</vt:lpwstr>
  </property>
  <property fmtid="{D5CDD505-2E9C-101B-9397-08002B2CF9AE}" pid="3" name="ICV">
    <vt:lpwstr>D7CC938410C7493F996EF8B357EFDFC3</vt:lpwstr>
  </property>
</Properties>
</file>