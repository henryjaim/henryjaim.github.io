
<file path=[Content_Types].xml><?xml version="1.0" encoding="utf-8"?>
<Types xmlns="http://schemas.openxmlformats.org/package/2006/content-types">
  <Default Extension="vml" ContentType="application/vnd.openxmlformats-officedocument.vmlDrawing"/>
  <Default Extension="wmf" ContentType="image/x-wmf"/>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2540" activeTab="4"/>
  </bookViews>
  <sheets>
    <sheet name="委托单位信息" sheetId="2" r:id="rId1"/>
    <sheet name="钢筋机械连接检测" sheetId="4" r:id="rId2"/>
    <sheet name="委托单" sheetId="5" r:id="rId3"/>
    <sheet name="机械连接报告" sheetId="1" r:id="rId4"/>
    <sheet name="150105-2021000039" sheetId="6" r:id="rId5"/>
    <sheet name="150105-2021000020" sheetId="7" r:id="rId6"/>
  </sheets>
  <externalReferences>
    <externalReference r:id="rId7"/>
    <externalReference r:id="rId8"/>
  </externalReferences>
  <definedNames>
    <definedName name="_xlnm._FilterDatabase" localSheetId="2" hidden="1">委托单!$A$8:$K$13</definedName>
    <definedName name="材料费">[1]子目!$O$4:$O$19</definedName>
    <definedName name="差旅费">[1]子目!$L$4:$L$19</definedName>
    <definedName name="地基基础检测">[2]辅助计算表!$N$3:$N$180</definedName>
    <definedName name="防水卷材">[2]辅助计算表!$R$3:$R$180</definedName>
    <definedName name="钢筋检测">[2]辅助计算表!$J$3:$J$180</definedName>
    <definedName name="钢筋接头检测">[2]辅助计算表!$K$3:$K$180</definedName>
    <definedName name="固定资产">[1]子目!$I$4:$I$19</definedName>
    <definedName name="管线检测">[2]辅助计算表!$Q$3:$Q$180</definedName>
    <definedName name="混凝土抗渗检测">[2]辅助计算表!$S$3:$S$180</definedName>
    <definedName name="混凝土抗压强度检测">[2]辅助计算表!$C$3:$C$180</definedName>
    <definedName name="混凝土配合比检测">[2]辅助计算表!$E$3:$E$180</definedName>
    <definedName name="检测类型">[2]辅助计算表!$C$2:$U$2</definedName>
    <definedName name="建筑节能检测">[2]辅助计算表!$P$3:$P$180</definedName>
    <definedName name="接待费">[1]子目!$M$4:$M$19</definedName>
    <definedName name="路基检测">[2]辅助计算表!$O$3:$O$180</definedName>
    <definedName name="砌体材料检测">[2]辅助计算表!$L$3:$L$181</definedName>
    <definedName name="人工费">[1]子目!$N$4:$N$19</definedName>
    <definedName name="砂浆抗压强度检测">[2]辅助计算表!$D$3:$D$180</definedName>
    <definedName name="砂浆配合比检测">[2]辅助计算表!$F$3:$F$180</definedName>
    <definedName name="砂料检测">[2]辅助计算表!$G$3:$G$180</definedName>
    <definedName name="实体检测">[2]辅助计算表!$M$3:$M$180</definedName>
    <definedName name="水泥检测">[2]辅助计算表!$I$3:$I$180</definedName>
    <definedName name="碎石检测">[2]辅助计算表!$H$3:$H$180</definedName>
    <definedName name="网费">[1]子目!$K$4:$K$19</definedName>
    <definedName name="维护费">[1]子目!$P$4:$P$19</definedName>
    <definedName name="项目类别">[1]子目!$I$3:$J$3</definedName>
    <definedName name="运营支出">[1]子目!$J$4:$J$190</definedName>
  </definedNames>
  <calcPr calcId="144525"/>
</workbook>
</file>

<file path=xl/sharedStrings.xml><?xml version="1.0" encoding="utf-8"?>
<sst xmlns="http://schemas.openxmlformats.org/spreadsheetml/2006/main" count="278" uniqueCount="95">
  <si>
    <t>委托单位信息</t>
  </si>
  <si>
    <t>编号</t>
  </si>
  <si>
    <t>工程名称</t>
  </si>
  <si>
    <t>委托单位</t>
  </si>
  <si>
    <t>施工单位</t>
  </si>
  <si>
    <t>见证单位</t>
  </si>
  <si>
    <t>见证人</t>
  </si>
  <si>
    <t>见证人电话</t>
  </si>
  <si>
    <t>送检人</t>
  </si>
  <si>
    <t>送检人电话</t>
  </si>
  <si>
    <t>委托类型</t>
  </si>
  <si>
    <t>备注</t>
  </si>
  <si>
    <t>XW001</t>
  </si>
  <si>
    <t>青神县瑞峰镇中岩村1组德云寺滑坡地质灾害工程治理项目</t>
  </si>
  <si>
    <t>新疆地质工程有限公司</t>
  </si>
  <si>
    <t>武汉宏基建设工程监理有限公司</t>
  </si>
  <si>
    <t>吴坤林</t>
  </si>
  <si>
    <t>安广荣</t>
  </si>
  <si>
    <t>XW002</t>
  </si>
  <si>
    <t>芦山县太平镇大河村赵家坪后山崩塌治理工程清淤加固项目</t>
  </si>
  <si>
    <t>中新凯瑞工程咨询有限公司</t>
  </si>
  <si>
    <t>马建明</t>
  </si>
  <si>
    <t>耿盛林</t>
  </si>
  <si>
    <t>XW003</t>
  </si>
  <si>
    <t>芦山县大川镇三江村集中安置点老李沟泥石流治理工程清淤加固项目</t>
  </si>
  <si>
    <t>XW004</t>
  </si>
  <si>
    <t>芦山县大川镇小河村水坝子组泥石流治理工程清淤加固项目</t>
  </si>
  <si>
    <t>XW005</t>
  </si>
  <si>
    <t>芦山县太平镇春光村董家沟泥石流治理工程清淤加固项目</t>
  </si>
  <si>
    <t>XW006</t>
  </si>
  <si>
    <r>
      <rPr>
        <sz val="11"/>
        <color theme="1"/>
        <rFont val="宋体"/>
        <charset val="134"/>
        <scheme val="minor"/>
      </rPr>
      <t>芦山县大川镇小河村水坝子组泥石流等7处治理工程清淤加固项目(</t>
    </r>
    <r>
      <rPr>
        <sz val="9"/>
        <color theme="1"/>
        <rFont val="宋体"/>
        <charset val="134"/>
        <scheme val="minor"/>
      </rPr>
      <t>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t>
    </r>
    <r>
      <rPr>
        <sz val="11"/>
        <color theme="1"/>
        <rFont val="宋体"/>
        <charset val="134"/>
        <scheme val="minor"/>
      </rPr>
      <t>）</t>
    </r>
  </si>
  <si>
    <t>XW007</t>
  </si>
  <si>
    <t>宁209井区中心站综合值班用房及配套工程</t>
  </si>
  <si>
    <t>四川蜀渝石油建筑安装工程有限责任公司</t>
  </si>
  <si>
    <t>四川华成油气工程建设监理有限公司</t>
  </si>
  <si>
    <t>胡晓强</t>
  </si>
  <si>
    <t>邓茂桥</t>
  </si>
  <si>
    <t>XW008</t>
  </si>
  <si>
    <t>兴文县共乐初中食堂项目</t>
  </si>
  <si>
    <t>四川熠城建筑工程有限公司</t>
  </si>
  <si>
    <t>马登军</t>
  </si>
  <si>
    <t>白吉</t>
  </si>
  <si>
    <t>钢筋机械连接接头检测样品信息</t>
  </si>
  <si>
    <t>项目名称</t>
  </si>
  <si>
    <t>牌号级别</t>
  </si>
  <si>
    <t>型号规格</t>
  </si>
  <si>
    <t>代表批量</t>
  </si>
  <si>
    <t>使用部位</t>
  </si>
  <si>
    <t>试件数量（组）</t>
  </si>
  <si>
    <t>检测编号</t>
  </si>
  <si>
    <t>送检日期</t>
  </si>
  <si>
    <t>HRB400E</t>
  </si>
  <si>
    <t>10个</t>
  </si>
  <si>
    <t>食堂二层梁</t>
  </si>
  <si>
    <t>150105-2021000020</t>
  </si>
  <si>
    <t>食堂三层梁</t>
  </si>
  <si>
    <t>150105-2021000039</t>
  </si>
  <si>
    <t>有见证取样送检</t>
  </si>
  <si>
    <t>序号</t>
  </si>
  <si>
    <t>检测项目</t>
  </si>
  <si>
    <t>样品信息</t>
  </si>
  <si>
    <t>检测日期</t>
  </si>
  <si>
    <t>报告日期</t>
  </si>
  <si>
    <t>钢筋机械连接检测</t>
  </si>
  <si>
    <t>检测编号：</t>
  </si>
  <si>
    <t>四川恒固建设工程检测有限公司</t>
  </si>
  <si>
    <t>地址：兴文县古宋镇马栏湾二组中华苑3号楼1层26户室</t>
  </si>
  <si>
    <t>TEL:0831-8833125</t>
  </si>
  <si>
    <t>钢筋机械连接力学性能检测报告</t>
  </si>
  <si>
    <t>见证人及编号</t>
  </si>
  <si>
    <t>接头类型</t>
  </si>
  <si>
    <t>滚轧直螺纹接头</t>
  </si>
  <si>
    <t>500个接头</t>
  </si>
  <si>
    <t>接头等级</t>
  </si>
  <si>
    <t>Ⅰ级（工艺检验）</t>
  </si>
  <si>
    <t>公称直径</t>
  </si>
  <si>
    <t>样品状态描述</t>
  </si>
  <si>
    <t>青灰色；表面带肋棍状，无绣蚀，套筒完好、无裂纹。</t>
  </si>
  <si>
    <t>检测依据</t>
  </si>
  <si>
    <t>JGJ 107-2016,GB/T1499.2-2018</t>
  </si>
  <si>
    <t>钢筋连接件单向拉伸试验</t>
  </si>
  <si>
    <t>试样编号</t>
  </si>
  <si>
    <t>极限抗拉破坏荷载（kN）</t>
  </si>
  <si>
    <t>极限抗拉强度(MPa )</t>
  </si>
  <si>
    <t>破坏形态</t>
  </si>
  <si>
    <t>钢筋拉断</t>
  </si>
  <si>
    <t>检测结论</t>
  </si>
  <si>
    <t>经检测，该样品所检参数符合JGJ 107-2016标准的要求</t>
  </si>
  <si>
    <t>备 注</t>
  </si>
  <si>
    <t>—</t>
  </si>
  <si>
    <t>声 明</t>
  </si>
  <si>
    <t>1.未加盖本公司“检验检测专业章”，报告无效。
2.对于送样检测，结果仅适用于委托方提供的样品。
3.对报告若有异议，应在报告收到十五日内向本公司书面提出，逾期视为对报告无异议。
4.未经本公司批准，不得复制（全文复制除外）报告。</t>
  </si>
  <si>
    <t>签发：</t>
  </si>
  <si>
    <t>审核：</t>
  </si>
  <si>
    <t>检测：</t>
  </si>
</sst>
</file>

<file path=xl/styles.xml><?xml version="1.0" encoding="utf-8"?>
<styleSheet xmlns="http://schemas.openxmlformats.org/spreadsheetml/2006/main">
  <numFmts count="7">
    <numFmt numFmtId="44" formatCode="_ &quot;￥&quot;* #,##0.00_ ;_ &quot;￥&quot;* \-#,##0.00_ ;_ &quot;￥&quot;* &quot;-&quot;??_ ;_ @_ "/>
    <numFmt numFmtId="176" formatCode="yyyy/mm/dd;@"/>
    <numFmt numFmtId="177" formatCode="0&quot;mm&quot;"/>
    <numFmt numFmtId="42" formatCode="_ &quot;￥&quot;* #,##0_ ;_ &quot;￥&quot;* \-#,##0_ ;_ &quot;￥&quot;* &quot;-&quot;_ ;_ @_ "/>
    <numFmt numFmtId="41" formatCode="_ * #,##0_ ;_ * \-#,##0_ ;_ * &quot;-&quot;_ ;_ @_ "/>
    <numFmt numFmtId="43" formatCode="_ * #,##0.00_ ;_ * \-#,##0.00_ ;_ * &quot;-&quot;??_ ;_ @_ "/>
    <numFmt numFmtId="178" formatCode="yyyy/mm/dd"/>
  </numFmts>
  <fonts count="33">
    <font>
      <sz val="12"/>
      <name val="宋体"/>
      <charset val="134"/>
    </font>
    <font>
      <sz val="11"/>
      <name val="宋体"/>
      <charset val="134"/>
    </font>
    <font>
      <sz val="8"/>
      <name val="宋体"/>
      <charset val="134"/>
    </font>
    <font>
      <b/>
      <sz val="18"/>
      <name val="宋体"/>
      <charset val="134"/>
    </font>
    <font>
      <sz val="10"/>
      <name val="宋体"/>
      <charset val="134"/>
    </font>
    <font>
      <sz val="6"/>
      <name val="宋体"/>
      <charset val="134"/>
    </font>
    <font>
      <sz val="11"/>
      <color theme="1"/>
      <name val="宋体"/>
      <charset val="134"/>
      <scheme val="minor"/>
    </font>
    <font>
      <b/>
      <sz val="11"/>
      <color theme="1"/>
      <name val="宋体"/>
      <charset val="134"/>
      <scheme val="minor"/>
    </font>
    <font>
      <sz val="11"/>
      <color theme="1"/>
      <name val="宋体"/>
      <charset val="134"/>
    </font>
    <font>
      <sz val="10.5"/>
      <name val="宋体"/>
      <charset val="134"/>
    </font>
    <font>
      <b/>
      <sz val="16"/>
      <color theme="1"/>
      <name val="宋体"/>
      <charset val="134"/>
      <scheme val="minor"/>
    </font>
    <font>
      <sz val="12"/>
      <color theme="1"/>
      <name val="宋体"/>
      <charset val="134"/>
    </font>
    <font>
      <sz val="10.5"/>
      <color theme="1"/>
      <name val="宋体"/>
      <charset val="134"/>
    </font>
    <font>
      <sz val="11"/>
      <color theme="1"/>
      <name val="宋体"/>
      <charset val="0"/>
      <scheme val="minor"/>
    </font>
    <font>
      <b/>
      <sz val="11"/>
      <color theme="3"/>
      <name val="宋体"/>
      <charset val="134"/>
      <scheme val="minor"/>
    </font>
    <font>
      <sz val="11"/>
      <color rgb="FF9C0006"/>
      <name val="宋体"/>
      <charset val="0"/>
      <scheme val="minor"/>
    </font>
    <font>
      <sz val="11"/>
      <color rgb="FF3F3F7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sz val="11"/>
      <color rgb="FFFA7D00"/>
      <name val="宋体"/>
      <charset val="0"/>
      <scheme val="minor"/>
    </font>
    <font>
      <sz val="11"/>
      <color rgb="FFFF0000"/>
      <name val="宋体"/>
      <charset val="0"/>
      <scheme val="minor"/>
    </font>
    <font>
      <b/>
      <sz val="13"/>
      <color theme="3"/>
      <name val="宋体"/>
      <charset val="134"/>
      <scheme val="minor"/>
    </font>
    <font>
      <b/>
      <sz val="18"/>
      <color theme="3"/>
      <name val="宋体"/>
      <charset val="134"/>
      <scheme val="minor"/>
    </font>
    <font>
      <i/>
      <sz val="11"/>
      <color rgb="FF7F7F7F"/>
      <name val="宋体"/>
      <charset val="0"/>
      <scheme val="minor"/>
    </font>
    <font>
      <b/>
      <sz val="11"/>
      <color theme="1"/>
      <name val="宋体"/>
      <charset val="0"/>
      <scheme val="minor"/>
    </font>
    <font>
      <b/>
      <sz val="15"/>
      <color theme="3"/>
      <name val="宋体"/>
      <charset val="134"/>
      <scheme val="minor"/>
    </font>
    <font>
      <b/>
      <sz val="11"/>
      <color rgb="FFFFFFFF"/>
      <name val="宋体"/>
      <charset val="0"/>
      <scheme val="minor"/>
    </font>
    <font>
      <b/>
      <sz val="11"/>
      <color rgb="FF3F3F3F"/>
      <name val="宋体"/>
      <charset val="0"/>
      <scheme val="minor"/>
    </font>
    <font>
      <b/>
      <sz val="11"/>
      <color rgb="FFFA7D00"/>
      <name val="宋体"/>
      <charset val="0"/>
      <scheme val="minor"/>
    </font>
    <font>
      <sz val="11"/>
      <color rgb="FF006100"/>
      <name val="宋体"/>
      <charset val="0"/>
      <scheme val="minor"/>
    </font>
    <font>
      <sz val="11"/>
      <color rgb="FF9C6500"/>
      <name val="宋体"/>
      <charset val="0"/>
      <scheme val="minor"/>
    </font>
    <font>
      <sz val="9"/>
      <color theme="1"/>
      <name val="宋体"/>
      <charset val="134"/>
      <scheme val="minor"/>
    </font>
  </fonts>
  <fills count="33">
    <fill>
      <patternFill patternType="none"/>
    </fill>
    <fill>
      <patternFill patternType="gray125"/>
    </fill>
    <fill>
      <patternFill patternType="solid">
        <fgColor theme="4" tint="0.799981688894314"/>
        <bgColor indexed="64"/>
      </patternFill>
    </fill>
    <fill>
      <patternFill patternType="solid">
        <fgColor rgb="FFFFC7CE"/>
        <bgColor indexed="64"/>
      </patternFill>
    </fill>
    <fill>
      <patternFill patternType="solid">
        <fgColor theme="9" tint="0.599993896298105"/>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rgb="FFFFCC99"/>
        <bgColor indexed="64"/>
      </patternFill>
    </fill>
    <fill>
      <patternFill patternType="solid">
        <fgColor rgb="FFFFFFCC"/>
        <bgColor indexed="64"/>
      </patternFill>
    </fill>
    <fill>
      <patternFill patternType="solid">
        <fgColor theme="8" tint="0.599993896298105"/>
        <bgColor indexed="64"/>
      </patternFill>
    </fill>
    <fill>
      <patternFill patternType="solid">
        <fgColor theme="8"/>
        <bgColor indexed="64"/>
      </patternFill>
    </fill>
    <fill>
      <patternFill patternType="solid">
        <fgColor theme="6" tint="0.399975585192419"/>
        <bgColor indexed="64"/>
      </patternFill>
    </fill>
    <fill>
      <patternFill patternType="solid">
        <fgColor theme="5" tint="0.399975585192419"/>
        <bgColor indexed="64"/>
      </patternFill>
    </fill>
    <fill>
      <patternFill patternType="solid">
        <fgColor theme="5" tint="0.599993896298105"/>
        <bgColor indexed="64"/>
      </patternFill>
    </fill>
    <fill>
      <patternFill patternType="solid">
        <fgColor theme="5"/>
        <bgColor indexed="64"/>
      </patternFill>
    </fill>
    <fill>
      <patternFill patternType="solid">
        <fgColor theme="4"/>
        <bgColor indexed="64"/>
      </patternFill>
    </fill>
    <fill>
      <patternFill patternType="solid">
        <fgColor theme="4" tint="0.399975585192419"/>
        <bgColor indexed="64"/>
      </patternFill>
    </fill>
    <fill>
      <patternFill patternType="solid">
        <fgColor theme="8" tint="0.799981688894314"/>
        <bgColor indexed="64"/>
      </patternFill>
    </fill>
    <fill>
      <patternFill patternType="solid">
        <fgColor theme="7" tint="0.399975585192419"/>
        <bgColor indexed="64"/>
      </patternFill>
    </fill>
    <fill>
      <patternFill patternType="solid">
        <fgColor theme="5" tint="0.799981688894314"/>
        <bgColor indexed="64"/>
      </patternFill>
    </fill>
    <fill>
      <patternFill patternType="solid">
        <fgColor rgb="FFA5A5A5"/>
        <bgColor indexed="64"/>
      </patternFill>
    </fill>
    <fill>
      <patternFill patternType="solid">
        <fgColor rgb="FFF2F2F2"/>
        <bgColor indexed="64"/>
      </patternFill>
    </fill>
    <fill>
      <patternFill patternType="solid">
        <fgColor theme="7" tint="0.599993896298105"/>
        <bgColor indexed="64"/>
      </patternFill>
    </fill>
    <fill>
      <patternFill patternType="solid">
        <fgColor theme="9" tint="0.799981688894314"/>
        <bgColor indexed="64"/>
      </patternFill>
    </fill>
    <fill>
      <patternFill patternType="solid">
        <fgColor theme="4" tint="0.599993896298105"/>
        <bgColor indexed="64"/>
      </patternFill>
    </fill>
    <fill>
      <patternFill patternType="solid">
        <fgColor rgb="FFC6EFCE"/>
        <bgColor indexed="64"/>
      </patternFill>
    </fill>
    <fill>
      <patternFill patternType="solid">
        <fgColor rgb="FFFFEB9C"/>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9"/>
        <bgColor indexed="64"/>
      </patternFill>
    </fill>
    <fill>
      <patternFill patternType="solid">
        <fgColor theme="8" tint="0.399975585192419"/>
        <bgColor indexed="64"/>
      </patternFill>
    </fill>
    <fill>
      <patternFill patternType="solid">
        <fgColor theme="9" tint="0.399975585192419"/>
        <bgColor indexed="64"/>
      </patternFill>
    </fill>
  </fills>
  <borders count="15">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bottom style="medium">
        <color theme="4" tint="0.499984740745262"/>
      </bottom>
      <diagonal/>
    </border>
    <border>
      <left/>
      <right/>
      <top/>
      <bottom style="medium">
        <color theme="4"/>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s>
  <cellStyleXfs count="49">
    <xf numFmtId="0" fontId="0" fillId="0" borderId="0">
      <alignment vertical="center"/>
    </xf>
    <xf numFmtId="42" fontId="6" fillId="0" borderId="0" applyFont="0" applyFill="0" applyBorder="0" applyAlignment="0" applyProtection="0">
      <alignment vertical="center"/>
    </xf>
    <xf numFmtId="0" fontId="13" fillId="5" borderId="0" applyNumberFormat="0" applyBorder="0" applyAlignment="0" applyProtection="0">
      <alignment vertical="center"/>
    </xf>
    <xf numFmtId="0" fontId="16" fillId="7" borderId="7" applyNumberFormat="0" applyAlignment="0" applyProtection="0">
      <alignment vertical="center"/>
    </xf>
    <xf numFmtId="44" fontId="6" fillId="0" borderId="0" applyFont="0" applyFill="0" applyBorder="0" applyAlignment="0" applyProtection="0">
      <alignment vertical="center"/>
    </xf>
    <xf numFmtId="41" fontId="6" fillId="0" borderId="0" applyFont="0" applyFill="0" applyBorder="0" applyAlignment="0" applyProtection="0">
      <alignment vertical="center"/>
    </xf>
    <xf numFmtId="0" fontId="13" fillId="6" borderId="0" applyNumberFormat="0" applyBorder="0" applyAlignment="0" applyProtection="0">
      <alignment vertical="center"/>
    </xf>
    <xf numFmtId="0" fontId="15" fillId="3" borderId="0" applyNumberFormat="0" applyBorder="0" applyAlignment="0" applyProtection="0">
      <alignment vertical="center"/>
    </xf>
    <xf numFmtId="43" fontId="6" fillId="0" borderId="0" applyFont="0" applyFill="0" applyBorder="0" applyAlignment="0" applyProtection="0">
      <alignment vertical="center"/>
    </xf>
    <xf numFmtId="0" fontId="17" fillId="11" borderId="0" applyNumberFormat="0" applyBorder="0" applyAlignment="0" applyProtection="0">
      <alignment vertical="center"/>
    </xf>
    <xf numFmtId="0" fontId="18" fillId="0" borderId="0" applyNumberFormat="0" applyFill="0" applyBorder="0" applyAlignment="0" applyProtection="0">
      <alignment vertical="center"/>
    </xf>
    <xf numFmtId="9" fontId="6" fillId="0" borderId="0" applyFont="0" applyFill="0" applyBorder="0" applyAlignment="0" applyProtection="0">
      <alignment vertical="center"/>
    </xf>
    <xf numFmtId="0" fontId="19" fillId="0" borderId="0" applyNumberFormat="0" applyFill="0" applyBorder="0" applyAlignment="0" applyProtection="0">
      <alignment vertical="center"/>
    </xf>
    <xf numFmtId="0" fontId="6" fillId="8" borderId="8" applyNumberFormat="0" applyFont="0" applyAlignment="0" applyProtection="0">
      <alignment vertical="center"/>
    </xf>
    <xf numFmtId="0" fontId="17" fillId="12" borderId="0" applyNumberFormat="0" applyBorder="0" applyAlignment="0" applyProtection="0">
      <alignment vertical="center"/>
    </xf>
    <xf numFmtId="0" fontId="14"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6" fillId="0" borderId="11" applyNumberFormat="0" applyFill="0" applyAlignment="0" applyProtection="0">
      <alignment vertical="center"/>
    </xf>
    <xf numFmtId="0" fontId="22" fillId="0" borderId="11" applyNumberFormat="0" applyFill="0" applyAlignment="0" applyProtection="0">
      <alignment vertical="center"/>
    </xf>
    <xf numFmtId="0" fontId="17" fillId="16" borderId="0" applyNumberFormat="0" applyBorder="0" applyAlignment="0" applyProtection="0">
      <alignment vertical="center"/>
    </xf>
    <xf numFmtId="0" fontId="14" fillId="0" borderId="10" applyNumberFormat="0" applyFill="0" applyAlignment="0" applyProtection="0">
      <alignment vertical="center"/>
    </xf>
    <xf numFmtId="0" fontId="17" fillId="18" borderId="0" applyNumberFormat="0" applyBorder="0" applyAlignment="0" applyProtection="0">
      <alignment vertical="center"/>
    </xf>
    <xf numFmtId="0" fontId="28" fillId="21" borderId="14" applyNumberFormat="0" applyAlignment="0" applyProtection="0">
      <alignment vertical="center"/>
    </xf>
    <xf numFmtId="0" fontId="29" fillId="21" borderId="7" applyNumberFormat="0" applyAlignment="0" applyProtection="0">
      <alignment vertical="center"/>
    </xf>
    <xf numFmtId="0" fontId="27" fillId="20" borderId="13" applyNumberFormat="0" applyAlignment="0" applyProtection="0">
      <alignment vertical="center"/>
    </xf>
    <xf numFmtId="0" fontId="13" fillId="23" borderId="0" applyNumberFormat="0" applyBorder="0" applyAlignment="0" applyProtection="0">
      <alignment vertical="center"/>
    </xf>
    <xf numFmtId="0" fontId="17" fillId="14" borderId="0" applyNumberFormat="0" applyBorder="0" applyAlignment="0" applyProtection="0">
      <alignment vertical="center"/>
    </xf>
    <xf numFmtId="0" fontId="20" fillId="0" borderId="9" applyNumberFormat="0" applyFill="0" applyAlignment="0" applyProtection="0">
      <alignment vertical="center"/>
    </xf>
    <xf numFmtId="0" fontId="25" fillId="0" borderId="12" applyNumberFormat="0" applyFill="0" applyAlignment="0" applyProtection="0">
      <alignment vertical="center"/>
    </xf>
    <xf numFmtId="0" fontId="30" fillId="25" borderId="0" applyNumberFormat="0" applyBorder="0" applyAlignment="0" applyProtection="0">
      <alignment vertical="center"/>
    </xf>
    <xf numFmtId="0" fontId="31" fillId="26" borderId="0" applyNumberFormat="0" applyBorder="0" applyAlignment="0" applyProtection="0">
      <alignment vertical="center"/>
    </xf>
    <xf numFmtId="0" fontId="13" fillId="17" borderId="0" applyNumberFormat="0" applyBorder="0" applyAlignment="0" applyProtection="0">
      <alignment vertical="center"/>
    </xf>
    <xf numFmtId="0" fontId="17" fillId="15" borderId="0" applyNumberFormat="0" applyBorder="0" applyAlignment="0" applyProtection="0">
      <alignment vertical="center"/>
    </xf>
    <xf numFmtId="0" fontId="13" fillId="2" borderId="0" applyNumberFormat="0" applyBorder="0" applyAlignment="0" applyProtection="0">
      <alignment vertical="center"/>
    </xf>
    <xf numFmtId="0" fontId="13" fillId="24" borderId="0" applyNumberFormat="0" applyBorder="0" applyAlignment="0" applyProtection="0">
      <alignment vertical="center"/>
    </xf>
    <xf numFmtId="0" fontId="13" fillId="19" borderId="0" applyNumberFormat="0" applyBorder="0" applyAlignment="0" applyProtection="0">
      <alignment vertical="center"/>
    </xf>
    <xf numFmtId="0" fontId="13" fillId="13" borderId="0" applyNumberFormat="0" applyBorder="0" applyAlignment="0" applyProtection="0">
      <alignment vertical="center"/>
    </xf>
    <xf numFmtId="0" fontId="17" fillId="27" borderId="0" applyNumberFormat="0" applyBorder="0" applyAlignment="0" applyProtection="0">
      <alignment vertical="center"/>
    </xf>
    <xf numFmtId="0" fontId="17" fillId="28" borderId="0" applyNumberFormat="0" applyBorder="0" applyAlignment="0" applyProtection="0">
      <alignment vertical="center"/>
    </xf>
    <xf numFmtId="0" fontId="13" fillId="29" borderId="0" applyNumberFormat="0" applyBorder="0" applyAlignment="0" applyProtection="0">
      <alignment vertical="center"/>
    </xf>
    <xf numFmtId="0" fontId="13" fillId="22" borderId="0" applyNumberFormat="0" applyBorder="0" applyAlignment="0" applyProtection="0">
      <alignment vertical="center"/>
    </xf>
    <xf numFmtId="0" fontId="17" fillId="10" borderId="0" applyNumberFormat="0" applyBorder="0" applyAlignment="0" applyProtection="0">
      <alignment vertical="center"/>
    </xf>
    <xf numFmtId="0" fontId="13" fillId="9" borderId="0" applyNumberFormat="0" applyBorder="0" applyAlignment="0" applyProtection="0">
      <alignment vertical="center"/>
    </xf>
    <xf numFmtId="0" fontId="17" fillId="31" borderId="0" applyNumberFormat="0" applyBorder="0" applyAlignment="0" applyProtection="0">
      <alignment vertical="center"/>
    </xf>
    <xf numFmtId="0" fontId="17" fillId="30" borderId="0" applyNumberFormat="0" applyBorder="0" applyAlignment="0" applyProtection="0">
      <alignment vertical="center"/>
    </xf>
    <xf numFmtId="0" fontId="13" fillId="4" borderId="0" applyNumberFormat="0" applyBorder="0" applyAlignment="0" applyProtection="0">
      <alignment vertical="center"/>
    </xf>
    <xf numFmtId="0" fontId="17" fillId="32" borderId="0" applyNumberFormat="0" applyBorder="0" applyAlignment="0" applyProtection="0">
      <alignment vertical="center"/>
    </xf>
  </cellStyleXfs>
  <cellXfs count="60">
    <xf numFmtId="0" fontId="0" fillId="0" borderId="0" xfId="0">
      <alignment vertical="center"/>
    </xf>
    <xf numFmtId="0" fontId="0" fillId="0" borderId="1" xfId="0" applyBorder="1" applyAlignment="1">
      <alignment horizontal="right" vertical="center"/>
    </xf>
    <xf numFmtId="0" fontId="0" fillId="0" borderId="2" xfId="0" applyBorder="1" applyAlignment="1">
      <alignment horizontal="right" vertical="center"/>
    </xf>
    <xf numFmtId="0" fontId="0" fillId="0" borderId="2" xfId="0" applyBorder="1" applyAlignment="1">
      <alignment horizontal="left" vertical="center"/>
    </xf>
    <xf numFmtId="0" fontId="0" fillId="0" borderId="3" xfId="0" applyBorder="1" applyAlignment="1">
      <alignment horizontal="left" vertical="center"/>
    </xf>
    <xf numFmtId="0" fontId="1" fillId="0" borderId="0" xfId="0" applyFont="1" applyAlignment="1">
      <alignment horizontal="left" vertical="center"/>
    </xf>
    <xf numFmtId="0" fontId="0" fillId="0" borderId="0" xfId="0" applyAlignment="1">
      <alignment vertical="center"/>
    </xf>
    <xf numFmtId="0" fontId="2" fillId="0" borderId="0" xfId="0" applyFont="1" applyAlignment="1">
      <alignment horizontal="left" vertical="center"/>
    </xf>
    <xf numFmtId="0" fontId="0" fillId="0" borderId="4" xfId="0" applyBorder="1" applyAlignment="1">
      <alignment horizontal="center" vertical="center"/>
    </xf>
    <xf numFmtId="0" fontId="2" fillId="0" borderId="4" xfId="0" applyFont="1" applyBorder="1" applyAlignment="1">
      <alignment horizontal="left" vertical="center"/>
    </xf>
    <xf numFmtId="0" fontId="0" fillId="0" borderId="0" xfId="0" applyBorder="1" applyAlignment="1">
      <alignment horizontal="center" vertical="center"/>
    </xf>
    <xf numFmtId="0" fontId="3" fillId="0" borderId="0" xfId="0" applyFont="1" applyBorder="1" applyAlignment="1">
      <alignment horizontal="center" vertical="center"/>
    </xf>
    <xf numFmtId="0" fontId="3" fillId="0" borderId="0" xfId="0" applyFont="1" applyAlignment="1">
      <alignment horizontal="center" vertical="center"/>
    </xf>
    <xf numFmtId="0" fontId="0" fillId="0" borderId="5" xfId="0" applyBorder="1" applyAlignment="1">
      <alignment horizontal="center" vertical="center"/>
    </xf>
    <xf numFmtId="0" fontId="0" fillId="0" borderId="5" xfId="0" applyBorder="1" applyAlignment="1">
      <alignment horizontal="left" vertical="center"/>
    </xf>
    <xf numFmtId="0" fontId="0" fillId="0" borderId="5" xfId="0" applyBorder="1" applyAlignment="1">
      <alignment vertical="center"/>
    </xf>
    <xf numFmtId="0" fontId="0" fillId="0" borderId="5" xfId="0" applyBorder="1" applyAlignment="1">
      <alignment horizontal="center" vertical="center" wrapText="1"/>
    </xf>
    <xf numFmtId="177" fontId="0" fillId="0" borderId="5" xfId="0" applyNumberFormat="1" applyBorder="1" applyAlignment="1">
      <alignment horizontal="left" vertical="center"/>
    </xf>
    <xf numFmtId="0" fontId="4" fillId="0" borderId="5" xfId="0" applyFont="1" applyBorder="1" applyAlignment="1">
      <alignment horizontal="center" vertical="center" wrapText="1"/>
    </xf>
    <xf numFmtId="0" fontId="4" fillId="0" borderId="6" xfId="0" applyFont="1" applyBorder="1" applyAlignment="1">
      <alignment horizontal="center" vertical="center"/>
    </xf>
    <xf numFmtId="0" fontId="4" fillId="0" borderId="6" xfId="0" applyFont="1" applyBorder="1" applyAlignment="1">
      <alignment horizontal="left" vertical="center"/>
    </xf>
    <xf numFmtId="0" fontId="1" fillId="0" borderId="5" xfId="0" applyFont="1" applyBorder="1" applyAlignment="1">
      <alignment horizontal="center" vertical="center" wrapText="1"/>
    </xf>
    <xf numFmtId="0" fontId="1" fillId="0" borderId="5" xfId="0" applyFont="1" applyBorder="1" applyAlignment="1">
      <alignment horizontal="center" vertical="center"/>
    </xf>
    <xf numFmtId="0" fontId="2" fillId="0" borderId="5" xfId="0" applyFont="1" applyBorder="1" applyAlignment="1">
      <alignment horizontal="left" vertical="center" wrapText="1"/>
    </xf>
    <xf numFmtId="0" fontId="2" fillId="0" borderId="5" xfId="0" applyFont="1" applyBorder="1" applyAlignment="1">
      <alignment horizontal="left" vertical="center"/>
    </xf>
    <xf numFmtId="0" fontId="1" fillId="0" borderId="0" xfId="0" applyFont="1" applyAlignment="1">
      <alignment horizontal="center" vertical="center"/>
    </xf>
    <xf numFmtId="0" fontId="2" fillId="0" borderId="0" xfId="0" applyFont="1" applyAlignment="1">
      <alignment horizontal="left" vertical="center" wrapText="1"/>
    </xf>
    <xf numFmtId="0" fontId="0" fillId="0" borderId="0" xfId="0" applyAlignment="1">
      <alignment horizontal="left" vertical="center"/>
    </xf>
    <xf numFmtId="0" fontId="5" fillId="0" borderId="0" xfId="0" applyFont="1">
      <alignment vertical="center"/>
    </xf>
    <xf numFmtId="176" fontId="0" fillId="0" borderId="5" xfId="0" applyNumberFormat="1" applyBorder="1" applyAlignment="1">
      <alignment horizontal="center" vertical="center"/>
    </xf>
    <xf numFmtId="0" fontId="0" fillId="0" borderId="0" xfId="0" applyAlignment="1">
      <alignment horizontal="center" vertical="center"/>
    </xf>
    <xf numFmtId="0" fontId="6" fillId="0" borderId="0" xfId="0" applyFont="1" applyFill="1" applyAlignment="1">
      <alignment vertical="center" wrapText="1"/>
    </xf>
    <xf numFmtId="0" fontId="6" fillId="0" borderId="0" xfId="0" applyFont="1" applyFill="1" applyAlignment="1">
      <alignment vertical="center"/>
    </xf>
    <xf numFmtId="0" fontId="6" fillId="0" borderId="0" xfId="0" applyNumberFormat="1" applyFont="1" applyFill="1" applyAlignment="1">
      <alignment vertical="center"/>
    </xf>
    <xf numFmtId="0" fontId="6" fillId="0" borderId="0" xfId="0" applyFont="1" applyFill="1" applyAlignment="1">
      <alignment horizontal="center" vertical="center" wrapText="1"/>
    </xf>
    <xf numFmtId="0" fontId="6" fillId="0" borderId="0" xfId="0" applyFont="1" applyFill="1" applyAlignment="1">
      <alignment horizontal="center" vertical="center"/>
    </xf>
    <xf numFmtId="0" fontId="6" fillId="0" borderId="0" xfId="0" applyFont="1" applyFill="1" applyAlignment="1">
      <alignment horizontal="left" vertical="center"/>
    </xf>
    <xf numFmtId="178" fontId="6" fillId="0" borderId="0" xfId="0" applyNumberFormat="1" applyFont="1" applyFill="1" applyAlignment="1">
      <alignment horizontal="center" vertical="center"/>
    </xf>
    <xf numFmtId="0" fontId="6" fillId="0" borderId="0" xfId="0" applyNumberFormat="1" applyFont="1" applyFill="1" applyAlignment="1">
      <alignment horizontal="center" vertical="center"/>
    </xf>
    <xf numFmtId="0" fontId="7" fillId="0" borderId="0" xfId="0" applyFont="1" applyFill="1" applyAlignment="1">
      <alignment horizontal="center" vertical="center" wrapText="1"/>
    </xf>
    <xf numFmtId="0" fontId="7" fillId="0" borderId="0" xfId="0" applyNumberFormat="1" applyFont="1" applyFill="1" applyAlignment="1">
      <alignment horizontal="center" vertical="center" wrapText="1"/>
    </xf>
    <xf numFmtId="0" fontId="6" fillId="0" borderId="0" xfId="0" applyFont="1" applyFill="1" applyBorder="1" applyAlignment="1">
      <alignment horizontal="center" vertical="center"/>
    </xf>
    <xf numFmtId="0" fontId="8"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6" fillId="0" borderId="0" xfId="0" applyNumberFormat="1" applyFont="1" applyFill="1" applyBorder="1" applyAlignment="1">
      <alignment horizontal="center" vertical="center"/>
    </xf>
    <xf numFmtId="177" fontId="6" fillId="0" borderId="0" xfId="0" applyNumberFormat="1" applyFont="1" applyFill="1" applyAlignment="1">
      <alignment horizontal="center" vertical="center"/>
    </xf>
    <xf numFmtId="0" fontId="9" fillId="0" borderId="0" xfId="0" applyFont="1" applyAlignment="1">
      <alignment horizontal="center" vertical="center"/>
    </xf>
    <xf numFmtId="0" fontId="7" fillId="0" borderId="0" xfId="0" applyFont="1" applyFill="1" applyAlignment="1">
      <alignment horizontal="left" vertical="center" wrapText="1"/>
    </xf>
    <xf numFmtId="0" fontId="6" fillId="0" borderId="0" xfId="0" applyFont="1" applyFill="1" applyBorder="1" applyAlignment="1">
      <alignment horizontal="left" vertical="center"/>
    </xf>
    <xf numFmtId="178" fontId="6" fillId="0" borderId="0" xfId="0" applyNumberFormat="1" applyFont="1" applyFill="1" applyAlignment="1">
      <alignment horizontal="center" vertical="center" wrapText="1"/>
    </xf>
    <xf numFmtId="0" fontId="6" fillId="0" borderId="0" xfId="0" applyNumberFormat="1" applyFont="1" applyFill="1" applyAlignment="1">
      <alignment horizontal="center" vertical="center" wrapText="1"/>
    </xf>
    <xf numFmtId="14" fontId="6" fillId="0" borderId="0" xfId="0" applyNumberFormat="1" applyFont="1" applyFill="1" applyAlignment="1">
      <alignment horizontal="center" vertical="center"/>
    </xf>
    <xf numFmtId="0" fontId="7" fillId="0" borderId="0" xfId="0" applyFont="1" applyFill="1" applyAlignment="1">
      <alignment horizontal="center" vertical="center"/>
    </xf>
    <xf numFmtId="0" fontId="10" fillId="0" borderId="0" xfId="0" applyFont="1" applyFill="1" applyAlignment="1">
      <alignment horizontal="center" vertical="center"/>
    </xf>
    <xf numFmtId="0" fontId="9" fillId="0" borderId="0" xfId="0" applyFont="1" applyAlignment="1">
      <alignment horizontal="justify" vertical="center"/>
    </xf>
    <xf numFmtId="0" fontId="10" fillId="0" borderId="0" xfId="0" applyFont="1" applyFill="1" applyBorder="1" applyAlignment="1">
      <alignment horizontal="center" vertical="center" wrapText="1"/>
    </xf>
    <xf numFmtId="0" fontId="7" fillId="0" borderId="0" xfId="0" applyFont="1" applyFill="1" applyBorder="1" applyAlignment="1">
      <alignment horizontal="center" vertical="center" wrapText="1"/>
    </xf>
    <xf numFmtId="0" fontId="11" fillId="0" borderId="0" xfId="0" applyFont="1" applyFill="1" applyAlignment="1">
      <alignment horizontal="center" vertical="center" wrapText="1"/>
    </xf>
    <xf numFmtId="0" fontId="11" fillId="0" borderId="0" xfId="0" applyFont="1" applyFill="1" applyAlignment="1">
      <alignment horizontal="center" vertical="center"/>
    </xf>
    <xf numFmtId="0" fontId="12" fillId="0" borderId="0" xfId="0" applyFont="1" applyFill="1" applyAlignment="1">
      <alignment horizontal="justify"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2.xml"/><Relationship Id="rId7" Type="http://schemas.openxmlformats.org/officeDocument/2006/relationships/externalLink" Target="externalLinks/externalLink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2" Type="http://schemas.microsoft.com/office/2006/relationships/vbaProject" Target="vbaProject.bin"/><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drawings/_rels/drawing2.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wmf"/><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19050</xdr:colOff>
          <xdr:row>2</xdr:row>
          <xdr:rowOff>38100</xdr:rowOff>
        </xdr:from>
        <xdr:to>
          <xdr:col>12</xdr:col>
          <xdr:colOff>856615</xdr:colOff>
          <xdr:row>3</xdr:row>
          <xdr:rowOff>218440</xdr:rowOff>
        </xdr:to>
        <xdr:sp>
          <xdr:nvSpPr>
            <xdr:cNvPr id="2049" name="CommandButton1" hidden="1">
              <a:extLst>
                <a:ext uri="{63B3BB69-23CF-44E3-9099-C40C66FF867C}">
                  <a14:compatExt spid="_x0000_s2049"/>
                </a:ext>
              </a:extLst>
            </xdr:cNvPr>
            <xdr:cNvSpPr/>
          </xdr:nvSpPr>
          <xdr:spPr>
            <a:xfrm>
              <a:off x="10601325" y="697865"/>
              <a:ext cx="1713865" cy="4972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xdr:row>
          <xdr:rowOff>285750</xdr:rowOff>
        </xdr:from>
        <xdr:to>
          <xdr:col>12</xdr:col>
          <xdr:colOff>837565</xdr:colOff>
          <xdr:row>5</xdr:row>
          <xdr:rowOff>151765</xdr:rowOff>
        </xdr:to>
        <xdr:sp>
          <xdr:nvSpPr>
            <xdr:cNvPr id="2050" name="CommandButton2" hidden="1">
              <a:extLst>
                <a:ext uri="{63B3BB69-23CF-44E3-9099-C40C66FF867C}">
                  <a14:compatExt spid="_x0000_s2050"/>
                </a:ext>
              </a:extLst>
            </xdr:cNvPr>
            <xdr:cNvSpPr/>
          </xdr:nvSpPr>
          <xdr:spPr>
            <a:xfrm>
              <a:off x="10582275" y="1262380"/>
              <a:ext cx="1713865" cy="499745"/>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7</xdr:col>
      <xdr:colOff>581025</xdr:colOff>
      <xdr:row>24</xdr:row>
      <xdr:rowOff>31750</xdr:rowOff>
    </xdr:from>
    <xdr:to>
      <xdr:col>9</xdr:col>
      <xdr:colOff>66675</xdr:colOff>
      <xdr:row>24</xdr:row>
      <xdr:rowOff>401955</xdr:rowOff>
    </xdr:to>
    <xdr:pic>
      <xdr:nvPicPr>
        <xdr:cNvPr id="2" name="图片 1" descr="吴雪琦"/>
        <xdr:cNvPicPr>
          <a:picLocks noChangeAspect="1"/>
        </xdr:cNvPicPr>
      </xdr:nvPicPr>
      <xdr:blipFill>
        <a:blip r:embed="rId1"/>
        <a:stretch>
          <a:fillRect/>
        </a:stretch>
      </xdr:blipFill>
      <xdr:spPr>
        <a:xfrm>
          <a:off x="4276725" y="8693150"/>
          <a:ext cx="619125" cy="370205"/>
        </a:xfrm>
        <a:prstGeom prst="rect">
          <a:avLst/>
        </a:prstGeom>
      </xdr:spPr>
    </xdr:pic>
    <xdr:clientData/>
  </xdr:twoCellAnchor>
  <xdr:twoCellAnchor editAs="oneCell">
    <xdr:from>
      <xdr:col>4</xdr:col>
      <xdr:colOff>123825</xdr:colOff>
      <xdr:row>24</xdr:row>
      <xdr:rowOff>22225</xdr:rowOff>
    </xdr:from>
    <xdr:to>
      <xdr:col>5</xdr:col>
      <xdr:colOff>290830</xdr:colOff>
      <xdr:row>25</xdr:row>
      <xdr:rowOff>80645</xdr:rowOff>
    </xdr:to>
    <xdr:pic>
      <xdr:nvPicPr>
        <xdr:cNvPr id="3" name="图片 2" descr="邓志华"/>
        <xdr:cNvPicPr>
          <a:picLocks noChangeAspect="1"/>
        </xdr:cNvPicPr>
      </xdr:nvPicPr>
      <xdr:blipFill>
        <a:blip r:embed="rId2"/>
        <a:stretch>
          <a:fillRect/>
        </a:stretch>
      </xdr:blipFill>
      <xdr:spPr>
        <a:xfrm>
          <a:off x="2286000" y="8683625"/>
          <a:ext cx="852805" cy="490220"/>
        </a:xfrm>
        <a:prstGeom prst="rect">
          <a:avLst/>
        </a:prstGeom>
      </xdr:spPr>
    </xdr:pic>
    <xdr:clientData/>
  </xdr:twoCellAnchor>
  <xdr:twoCellAnchor editAs="oneCell">
    <xdr:from>
      <xdr:col>0</xdr:col>
      <xdr:colOff>467360</xdr:colOff>
      <xdr:row>24</xdr:row>
      <xdr:rowOff>60325</xdr:rowOff>
    </xdr:from>
    <xdr:to>
      <xdr:col>2</xdr:col>
      <xdr:colOff>88265</xdr:colOff>
      <xdr:row>25</xdr:row>
      <xdr:rowOff>57785</xdr:rowOff>
    </xdr:to>
    <xdr:pic>
      <xdr:nvPicPr>
        <xdr:cNvPr id="4" name="图片 3" descr="熊茂"/>
        <xdr:cNvPicPr>
          <a:picLocks noChangeAspect="1"/>
        </xdr:cNvPicPr>
      </xdr:nvPicPr>
      <xdr:blipFill>
        <a:blip r:embed="rId3"/>
        <a:stretch>
          <a:fillRect/>
        </a:stretch>
      </xdr:blipFill>
      <xdr:spPr>
        <a:xfrm>
          <a:off x="467360" y="8721725"/>
          <a:ext cx="697230" cy="429260"/>
        </a:xfrm>
        <a:prstGeom prst="rect">
          <a:avLst/>
        </a:prstGeom>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7</xdr:col>
      <xdr:colOff>581025</xdr:colOff>
      <xdr:row>24</xdr:row>
      <xdr:rowOff>31750</xdr:rowOff>
    </xdr:from>
    <xdr:to>
      <xdr:col>9</xdr:col>
      <xdr:colOff>66040</xdr:colOff>
      <xdr:row>24</xdr:row>
      <xdr:rowOff>401320</xdr:rowOff>
    </xdr:to>
    <xdr:pic>
      <xdr:nvPicPr>
        <xdr:cNvPr id="2" name="图片 1" descr="吴雪琦"/>
        <xdr:cNvPicPr>
          <a:picLocks noChangeAspect="1"/>
        </xdr:cNvPicPr>
      </xdr:nvPicPr>
      <xdr:blipFill>
        <a:blip r:embed="rId1"/>
        <a:stretch>
          <a:fillRect/>
        </a:stretch>
      </xdr:blipFill>
      <xdr:spPr>
        <a:xfrm>
          <a:off x="4276725" y="8693150"/>
          <a:ext cx="618490" cy="369570"/>
        </a:xfrm>
        <a:prstGeom prst="rect">
          <a:avLst/>
        </a:prstGeom>
      </xdr:spPr>
    </xdr:pic>
    <xdr:clientData/>
  </xdr:twoCellAnchor>
  <xdr:twoCellAnchor editAs="oneCell">
    <xdr:from>
      <xdr:col>4</xdr:col>
      <xdr:colOff>123825</xdr:colOff>
      <xdr:row>24</xdr:row>
      <xdr:rowOff>22225</xdr:rowOff>
    </xdr:from>
    <xdr:to>
      <xdr:col>5</xdr:col>
      <xdr:colOff>290195</xdr:colOff>
      <xdr:row>25</xdr:row>
      <xdr:rowOff>80010</xdr:rowOff>
    </xdr:to>
    <xdr:pic>
      <xdr:nvPicPr>
        <xdr:cNvPr id="3" name="图片 2" descr="邓志华"/>
        <xdr:cNvPicPr>
          <a:picLocks noChangeAspect="1"/>
        </xdr:cNvPicPr>
      </xdr:nvPicPr>
      <xdr:blipFill>
        <a:blip r:embed="rId2"/>
        <a:stretch>
          <a:fillRect/>
        </a:stretch>
      </xdr:blipFill>
      <xdr:spPr>
        <a:xfrm>
          <a:off x="2286000" y="8683625"/>
          <a:ext cx="852170" cy="489585"/>
        </a:xfrm>
        <a:prstGeom prst="rect">
          <a:avLst/>
        </a:prstGeom>
      </xdr:spPr>
    </xdr:pic>
    <xdr:clientData/>
  </xdr:twoCellAnchor>
  <xdr:twoCellAnchor editAs="oneCell">
    <xdr:from>
      <xdr:col>0</xdr:col>
      <xdr:colOff>467360</xdr:colOff>
      <xdr:row>24</xdr:row>
      <xdr:rowOff>60325</xdr:rowOff>
    </xdr:from>
    <xdr:to>
      <xdr:col>2</xdr:col>
      <xdr:colOff>87630</xdr:colOff>
      <xdr:row>25</xdr:row>
      <xdr:rowOff>57150</xdr:rowOff>
    </xdr:to>
    <xdr:pic>
      <xdr:nvPicPr>
        <xdr:cNvPr id="4" name="图片 3" descr="熊茂"/>
        <xdr:cNvPicPr>
          <a:picLocks noChangeAspect="1"/>
        </xdr:cNvPicPr>
      </xdr:nvPicPr>
      <xdr:blipFill>
        <a:blip r:embed="rId3"/>
        <a:stretch>
          <a:fillRect/>
        </a:stretch>
      </xdr:blipFill>
      <xdr:spPr>
        <a:xfrm>
          <a:off x="467360" y="8721725"/>
          <a:ext cx="696595" cy="428625"/>
        </a:xfrm>
        <a:prstGeom prst="rect">
          <a:avLst/>
        </a:prstGeom>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7</xdr:col>
      <xdr:colOff>581025</xdr:colOff>
      <xdr:row>24</xdr:row>
      <xdr:rowOff>31750</xdr:rowOff>
    </xdr:from>
    <xdr:to>
      <xdr:col>9</xdr:col>
      <xdr:colOff>66040</xdr:colOff>
      <xdr:row>24</xdr:row>
      <xdr:rowOff>401320</xdr:rowOff>
    </xdr:to>
    <xdr:pic>
      <xdr:nvPicPr>
        <xdr:cNvPr id="2" name="图片 1" descr="吴雪琦"/>
        <xdr:cNvPicPr>
          <a:picLocks noChangeAspect="1"/>
        </xdr:cNvPicPr>
      </xdr:nvPicPr>
      <xdr:blipFill>
        <a:blip r:embed="rId1"/>
        <a:stretch>
          <a:fillRect/>
        </a:stretch>
      </xdr:blipFill>
      <xdr:spPr>
        <a:xfrm>
          <a:off x="4276725" y="8693150"/>
          <a:ext cx="618490" cy="369570"/>
        </a:xfrm>
        <a:prstGeom prst="rect">
          <a:avLst/>
        </a:prstGeom>
      </xdr:spPr>
    </xdr:pic>
    <xdr:clientData/>
  </xdr:twoCellAnchor>
  <xdr:twoCellAnchor editAs="oneCell">
    <xdr:from>
      <xdr:col>4</xdr:col>
      <xdr:colOff>123825</xdr:colOff>
      <xdr:row>24</xdr:row>
      <xdr:rowOff>22225</xdr:rowOff>
    </xdr:from>
    <xdr:to>
      <xdr:col>5</xdr:col>
      <xdr:colOff>290195</xdr:colOff>
      <xdr:row>25</xdr:row>
      <xdr:rowOff>80010</xdr:rowOff>
    </xdr:to>
    <xdr:pic>
      <xdr:nvPicPr>
        <xdr:cNvPr id="3" name="图片 2" descr="邓志华"/>
        <xdr:cNvPicPr>
          <a:picLocks noChangeAspect="1"/>
        </xdr:cNvPicPr>
      </xdr:nvPicPr>
      <xdr:blipFill>
        <a:blip r:embed="rId2"/>
        <a:stretch>
          <a:fillRect/>
        </a:stretch>
      </xdr:blipFill>
      <xdr:spPr>
        <a:xfrm>
          <a:off x="2286000" y="8683625"/>
          <a:ext cx="852170" cy="489585"/>
        </a:xfrm>
        <a:prstGeom prst="rect">
          <a:avLst/>
        </a:prstGeom>
      </xdr:spPr>
    </xdr:pic>
    <xdr:clientData/>
  </xdr:twoCellAnchor>
  <xdr:twoCellAnchor editAs="oneCell">
    <xdr:from>
      <xdr:col>0</xdr:col>
      <xdr:colOff>467360</xdr:colOff>
      <xdr:row>24</xdr:row>
      <xdr:rowOff>60325</xdr:rowOff>
    </xdr:from>
    <xdr:to>
      <xdr:col>2</xdr:col>
      <xdr:colOff>87630</xdr:colOff>
      <xdr:row>25</xdr:row>
      <xdr:rowOff>57150</xdr:rowOff>
    </xdr:to>
    <xdr:pic>
      <xdr:nvPicPr>
        <xdr:cNvPr id="4" name="图片 3" descr="熊茂"/>
        <xdr:cNvPicPr>
          <a:picLocks noChangeAspect="1"/>
        </xdr:cNvPicPr>
      </xdr:nvPicPr>
      <xdr:blipFill>
        <a:blip r:embed="rId3"/>
        <a:stretch>
          <a:fillRect/>
        </a:stretch>
      </xdr:blipFill>
      <xdr:spPr>
        <a:xfrm>
          <a:off x="467360" y="8721725"/>
          <a:ext cx="696595" cy="42862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36130;&#21153;&#31649;&#29702;\&#25910;&#25903;&#26126;&#32454;&#3492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25215;&#25509;&#19994;&#21153;\&#19994;&#21153;&#30331;&#35760;&#34920;&#65288;&#26032;&#65289;.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6" Type="http://schemas.openxmlformats.org/officeDocument/2006/relationships/image" Target="../media/image2.wmf"/><Relationship Id="rId5" Type="http://schemas.openxmlformats.org/officeDocument/2006/relationships/control" Target="../activeX/activeX2.xml"/><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K22"/>
  <sheetViews>
    <sheetView workbookViewId="0">
      <selection activeCell="A10" sqref="A10:B10"/>
    </sheetView>
  </sheetViews>
  <sheetFormatPr defaultColWidth="9" defaultRowHeight="14.25"/>
  <cols>
    <col min="2" max="2" width="52.625" customWidth="1"/>
    <col min="3" max="10" width="16.375" customWidth="1"/>
  </cols>
  <sheetData>
    <row r="1" ht="20.25" spans="1:11">
      <c r="A1" s="55" t="s">
        <v>0</v>
      </c>
      <c r="B1" s="55"/>
      <c r="C1" s="55"/>
      <c r="D1" s="55"/>
      <c r="E1" s="55"/>
      <c r="F1" s="55"/>
      <c r="G1" s="55"/>
      <c r="H1" s="55"/>
      <c r="I1" s="55"/>
      <c r="J1" s="55"/>
      <c r="K1" s="55"/>
    </row>
    <row r="2" ht="23" customHeight="1" spans="1:11">
      <c r="A2" s="56" t="s">
        <v>1</v>
      </c>
      <c r="B2" s="56" t="s">
        <v>2</v>
      </c>
      <c r="C2" s="56" t="s">
        <v>3</v>
      </c>
      <c r="D2" s="56" t="s">
        <v>4</v>
      </c>
      <c r="E2" s="56" t="s">
        <v>5</v>
      </c>
      <c r="F2" s="56" t="s">
        <v>6</v>
      </c>
      <c r="G2" s="56" t="s">
        <v>7</v>
      </c>
      <c r="H2" s="56" t="s">
        <v>8</v>
      </c>
      <c r="I2" s="56" t="s">
        <v>9</v>
      </c>
      <c r="J2" s="56" t="s">
        <v>10</v>
      </c>
      <c r="K2" s="56" t="s">
        <v>11</v>
      </c>
    </row>
    <row r="3" ht="48" customHeight="1" spans="1:11">
      <c r="A3" s="34" t="s">
        <v>12</v>
      </c>
      <c r="B3" s="34" t="s">
        <v>13</v>
      </c>
      <c r="C3" s="34" t="s">
        <v>14</v>
      </c>
      <c r="D3" s="34" t="s">
        <v>14</v>
      </c>
      <c r="E3" s="34" t="s">
        <v>15</v>
      </c>
      <c r="F3" s="57" t="s">
        <v>16</v>
      </c>
      <c r="G3" s="34">
        <v>18228131927</v>
      </c>
      <c r="H3" s="34" t="s">
        <v>17</v>
      </c>
      <c r="I3" s="34">
        <v>17323288028</v>
      </c>
      <c r="J3" s="34" t="str">
        <f t="shared" ref="J3:J10" si="0">IF(F3&lt;&gt;"——","有见证取样送检","委托送样检测")</f>
        <v>有见证取样送检</v>
      </c>
      <c r="K3" s="34"/>
    </row>
    <row r="4" ht="48" customHeight="1" spans="1:11">
      <c r="A4" s="34" t="s">
        <v>18</v>
      </c>
      <c r="B4" s="34" t="s">
        <v>19</v>
      </c>
      <c r="C4" s="34" t="s">
        <v>14</v>
      </c>
      <c r="D4" s="34" t="s">
        <v>14</v>
      </c>
      <c r="E4" s="58" t="s">
        <v>20</v>
      </c>
      <c r="F4" s="58" t="s">
        <v>21</v>
      </c>
      <c r="G4" s="58">
        <v>15884546766</v>
      </c>
      <c r="H4" s="58" t="s">
        <v>22</v>
      </c>
      <c r="I4" s="58">
        <v>18128131927</v>
      </c>
      <c r="J4" s="34" t="str">
        <f t="shared" si="0"/>
        <v>有见证取样送检</v>
      </c>
      <c r="K4" s="34"/>
    </row>
    <row r="5" ht="48" customHeight="1" spans="1:11">
      <c r="A5" s="34" t="s">
        <v>23</v>
      </c>
      <c r="B5" s="58" t="s">
        <v>24</v>
      </c>
      <c r="C5" s="34" t="s">
        <v>14</v>
      </c>
      <c r="D5" s="34" t="s">
        <v>14</v>
      </c>
      <c r="E5" s="58" t="s">
        <v>20</v>
      </c>
      <c r="F5" s="58" t="s">
        <v>21</v>
      </c>
      <c r="G5" s="58">
        <v>15884546766</v>
      </c>
      <c r="H5" s="58" t="s">
        <v>22</v>
      </c>
      <c r="I5" s="58">
        <v>18128131927</v>
      </c>
      <c r="J5" s="34" t="str">
        <f t="shared" si="0"/>
        <v>有见证取样送检</v>
      </c>
      <c r="K5" s="34"/>
    </row>
    <row r="6" ht="48" customHeight="1" spans="1:11">
      <c r="A6" s="34" t="s">
        <v>25</v>
      </c>
      <c r="B6" s="58" t="s">
        <v>26</v>
      </c>
      <c r="C6" s="34" t="s">
        <v>14</v>
      </c>
      <c r="D6" s="34" t="s">
        <v>14</v>
      </c>
      <c r="E6" s="58" t="s">
        <v>20</v>
      </c>
      <c r="F6" s="58" t="s">
        <v>21</v>
      </c>
      <c r="G6" s="58">
        <v>15884546766</v>
      </c>
      <c r="H6" s="58" t="s">
        <v>22</v>
      </c>
      <c r="I6" s="58">
        <v>18128131927</v>
      </c>
      <c r="J6" s="34" t="str">
        <f t="shared" si="0"/>
        <v>有见证取样送检</v>
      </c>
      <c r="K6" s="34"/>
    </row>
    <row r="7" ht="48" customHeight="1" spans="1:11">
      <c r="A7" s="34" t="s">
        <v>27</v>
      </c>
      <c r="B7" s="58" t="s">
        <v>28</v>
      </c>
      <c r="C7" s="34" t="s">
        <v>14</v>
      </c>
      <c r="D7" s="34" t="s">
        <v>14</v>
      </c>
      <c r="E7" s="58" t="s">
        <v>20</v>
      </c>
      <c r="F7" s="58" t="s">
        <v>21</v>
      </c>
      <c r="G7" s="58">
        <v>15884546766</v>
      </c>
      <c r="H7" s="58" t="s">
        <v>22</v>
      </c>
      <c r="I7" s="58">
        <v>18128131927</v>
      </c>
      <c r="J7" s="34" t="str">
        <f t="shared" si="0"/>
        <v>有见证取样送检</v>
      </c>
      <c r="K7" s="34"/>
    </row>
    <row r="8" ht="48" customHeight="1" spans="1:11">
      <c r="A8" s="34" t="s">
        <v>29</v>
      </c>
      <c r="B8" s="34" t="s">
        <v>30</v>
      </c>
      <c r="C8" s="34" t="s">
        <v>14</v>
      </c>
      <c r="D8" s="34" t="s">
        <v>14</v>
      </c>
      <c r="E8" s="58" t="s">
        <v>20</v>
      </c>
      <c r="F8" s="58" t="s">
        <v>21</v>
      </c>
      <c r="G8" s="58">
        <v>15884546766</v>
      </c>
      <c r="H8" s="58" t="s">
        <v>22</v>
      </c>
      <c r="I8" s="58">
        <v>18128131927</v>
      </c>
      <c r="J8" s="34" t="str">
        <f t="shared" si="0"/>
        <v>有见证取样送检</v>
      </c>
      <c r="K8" s="34"/>
    </row>
    <row r="9" ht="25" customHeight="1" spans="1:11">
      <c r="A9" s="34" t="s">
        <v>31</v>
      </c>
      <c r="B9" s="35" t="s">
        <v>32</v>
      </c>
      <c r="C9" s="35" t="s">
        <v>33</v>
      </c>
      <c r="D9" s="35" t="s">
        <v>33</v>
      </c>
      <c r="E9" s="35" t="s">
        <v>34</v>
      </c>
      <c r="F9" s="35" t="s">
        <v>35</v>
      </c>
      <c r="G9" s="35">
        <v>15288669020</v>
      </c>
      <c r="H9" s="35" t="s">
        <v>36</v>
      </c>
      <c r="I9" s="59">
        <v>18182238027</v>
      </c>
      <c r="J9" s="34" t="str">
        <f t="shared" si="0"/>
        <v>有见证取样送检</v>
      </c>
      <c r="K9" s="34"/>
    </row>
    <row r="10" ht="25" customHeight="1" spans="1:10">
      <c r="A10" s="34" t="s">
        <v>37</v>
      </c>
      <c r="B10" s="30" t="s">
        <v>38</v>
      </c>
      <c r="C10" t="s">
        <v>39</v>
      </c>
      <c r="D10" t="s">
        <v>39</v>
      </c>
      <c r="E10" t="s">
        <v>39</v>
      </c>
      <c r="F10" s="46" t="s">
        <v>40</v>
      </c>
      <c r="G10" s="30">
        <v>13990999318</v>
      </c>
      <c r="H10" s="30" t="s">
        <v>41</v>
      </c>
      <c r="I10" s="30">
        <v>15284163128</v>
      </c>
      <c r="J10" s="34" t="str">
        <f t="shared" si="0"/>
        <v>有见证取样送检</v>
      </c>
    </row>
    <row r="11" ht="25" customHeight="1"/>
    <row r="12" ht="25" customHeight="1"/>
    <row r="13" ht="25" customHeight="1"/>
    <row r="14" ht="25" customHeight="1"/>
    <row r="15" ht="25" customHeight="1"/>
    <row r="16" ht="25" customHeight="1"/>
    <row r="17" ht="25" customHeight="1"/>
    <row r="18" ht="25" customHeight="1"/>
    <row r="19" ht="25" customHeight="1"/>
    <row r="20" ht="25" customHeight="1"/>
    <row r="21" ht="25" customHeight="1"/>
    <row r="22" ht="25" customHeight="1"/>
  </sheetData>
  <mergeCells count="1">
    <mergeCell ref="A1:K1"/>
  </mergeCells>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I4"/>
  <sheetViews>
    <sheetView topLeftCell="A2" workbookViewId="0">
      <selection activeCell="B35" sqref="B35:B37"/>
    </sheetView>
  </sheetViews>
  <sheetFormatPr defaultColWidth="9" defaultRowHeight="13.5" outlineLevelRow="3"/>
  <cols>
    <col min="1" max="1" width="9" style="35"/>
    <col min="2" max="2" width="41.625" style="35" customWidth="1"/>
    <col min="3" max="3" width="17.25" style="35" customWidth="1"/>
    <col min="4" max="4" width="11" style="35" customWidth="1"/>
    <col min="5" max="5" width="11.75" style="35" customWidth="1"/>
    <col min="6" max="7" width="9" style="35"/>
    <col min="8" max="8" width="22.5" style="35" customWidth="1"/>
    <col min="9" max="9" width="23.625" style="35" customWidth="1"/>
    <col min="10" max="16384" width="9" style="35"/>
  </cols>
  <sheetData>
    <row r="1" ht="27" customHeight="1" spans="1:9">
      <c r="A1" s="53" t="s">
        <v>42</v>
      </c>
      <c r="B1" s="53"/>
      <c r="C1" s="53"/>
      <c r="D1" s="53"/>
      <c r="E1" s="53"/>
      <c r="F1" s="53"/>
      <c r="G1" s="53"/>
      <c r="H1" s="53"/>
      <c r="I1" s="53"/>
    </row>
    <row r="2" s="52" customFormat="1" ht="27" spans="1:9">
      <c r="A2" s="52" t="s">
        <v>1</v>
      </c>
      <c r="B2" s="39" t="s">
        <v>43</v>
      </c>
      <c r="C2" s="52" t="s">
        <v>44</v>
      </c>
      <c r="D2" s="52" t="s">
        <v>45</v>
      </c>
      <c r="E2" s="52" t="s">
        <v>46</v>
      </c>
      <c r="F2" s="52" t="s">
        <v>47</v>
      </c>
      <c r="G2" s="39" t="s">
        <v>48</v>
      </c>
      <c r="H2" s="52" t="s">
        <v>49</v>
      </c>
      <c r="I2" s="52" t="s">
        <v>50</v>
      </c>
    </row>
    <row r="3" ht="32" customHeight="1" spans="1:9">
      <c r="A3" s="34" t="s">
        <v>37</v>
      </c>
      <c r="B3" s="30" t="s">
        <v>38</v>
      </c>
      <c r="C3" s="35" t="s">
        <v>51</v>
      </c>
      <c r="D3" s="45">
        <v>25</v>
      </c>
      <c r="E3" s="35" t="s">
        <v>52</v>
      </c>
      <c r="F3" s="54" t="s">
        <v>53</v>
      </c>
      <c r="G3" s="35">
        <v>1</v>
      </c>
      <c r="H3" s="35" t="s">
        <v>54</v>
      </c>
      <c r="I3" s="51">
        <v>44456</v>
      </c>
    </row>
    <row r="4" ht="25.5" spans="1:9">
      <c r="A4" s="34" t="s">
        <v>37</v>
      </c>
      <c r="B4" s="30" t="s">
        <v>38</v>
      </c>
      <c r="C4" s="35" t="s">
        <v>51</v>
      </c>
      <c r="D4" s="45">
        <v>25</v>
      </c>
      <c r="E4" s="35" t="s">
        <v>52</v>
      </c>
      <c r="F4" s="54" t="s">
        <v>55</v>
      </c>
      <c r="G4" s="35">
        <v>1</v>
      </c>
      <c r="H4" s="35" t="s">
        <v>56</v>
      </c>
      <c r="I4" s="51">
        <v>44466</v>
      </c>
    </row>
  </sheetData>
  <mergeCells count="1">
    <mergeCell ref="A1:I1"/>
  </mergeCells>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O1000"/>
  <sheetViews>
    <sheetView workbookViewId="0">
      <pane xSplit="2" ySplit="8" topLeftCell="C9" activePane="bottomRight" state="frozen"/>
      <selection/>
      <selection pane="topRight"/>
      <selection pane="bottomLeft"/>
      <selection pane="bottomRight" activeCell="F13" sqref="F13"/>
    </sheetView>
  </sheetViews>
  <sheetFormatPr defaultColWidth="9" defaultRowHeight="13.5"/>
  <cols>
    <col min="1" max="1" width="9.375" style="32" customWidth="1"/>
    <col min="2" max="2" width="11.125" style="32" customWidth="1"/>
    <col min="3" max="3" width="9.125" style="32" customWidth="1"/>
    <col min="4" max="4" width="9.375" style="32" customWidth="1"/>
    <col min="5" max="5" width="9.125" style="33" customWidth="1"/>
    <col min="6" max="6" width="27" style="34" customWidth="1"/>
    <col min="7" max="7" width="10.375" style="35" customWidth="1"/>
    <col min="8" max="8" width="19" style="32" customWidth="1"/>
    <col min="9" max="9" width="10.625" style="36" customWidth="1"/>
    <col min="10" max="10" width="10.5" style="32" customWidth="1"/>
    <col min="11" max="11" width="13.25" style="32" customWidth="1"/>
    <col min="12" max="12" width="11.5" style="32"/>
    <col min="13" max="13" width="15.875" style="37" customWidth="1"/>
    <col min="14" max="14" width="11.5" style="38"/>
    <col min="15" max="15" width="11.5" style="37"/>
    <col min="16" max="16384" width="9" style="32"/>
  </cols>
  <sheetData>
    <row r="1" ht="27" customHeight="1" spans="1:11">
      <c r="A1" s="39" t="s">
        <v>38</v>
      </c>
      <c r="B1" s="39"/>
      <c r="C1" s="39"/>
      <c r="D1" s="39"/>
      <c r="E1" s="40"/>
      <c r="F1" s="39"/>
      <c r="G1" s="39"/>
      <c r="H1" s="39"/>
      <c r="I1" s="47"/>
      <c r="J1" s="39"/>
      <c r="K1" s="39"/>
    </row>
    <row r="2" ht="24.95" customHeight="1" spans="1:13">
      <c r="A2" s="41" t="s">
        <v>3</v>
      </c>
      <c r="B2" s="35" t="s">
        <v>39</v>
      </c>
      <c r="C2" s="35"/>
      <c r="D2" s="35"/>
      <c r="E2" s="38"/>
      <c r="F2" s="35"/>
      <c r="H2" s="35"/>
      <c r="I2" s="35"/>
      <c r="J2" s="35"/>
      <c r="K2" s="35"/>
      <c r="L2" s="32" t="s">
        <v>10</v>
      </c>
      <c r="M2" s="37" t="s">
        <v>57</v>
      </c>
    </row>
    <row r="3" ht="24.95" customHeight="1" spans="1:11">
      <c r="A3" s="41" t="s">
        <v>4</v>
      </c>
      <c r="B3" s="35" t="s">
        <v>39</v>
      </c>
      <c r="C3" s="35"/>
      <c r="D3" s="35"/>
      <c r="E3" s="38"/>
      <c r="F3" s="35"/>
      <c r="H3" s="35"/>
      <c r="I3" s="35"/>
      <c r="J3" s="35"/>
      <c r="K3" s="35"/>
    </row>
    <row r="4" ht="24.95" customHeight="1" spans="1:11">
      <c r="A4" s="41" t="s">
        <v>5</v>
      </c>
      <c r="B4" s="35" t="s">
        <v>39</v>
      </c>
      <c r="C4" s="35"/>
      <c r="D4" s="35"/>
      <c r="E4" s="38"/>
      <c r="F4" s="35"/>
      <c r="H4" s="35"/>
      <c r="I4" s="35"/>
      <c r="J4" s="35"/>
      <c r="K4" s="35"/>
    </row>
    <row r="5" ht="24.95" customHeight="1" spans="1:11">
      <c r="A5" s="41" t="s">
        <v>6</v>
      </c>
      <c r="B5" s="35" t="s">
        <v>40</v>
      </c>
      <c r="C5" s="35"/>
      <c r="D5" s="35"/>
      <c r="E5" s="38"/>
      <c r="F5" s="42" t="s">
        <v>7</v>
      </c>
      <c r="G5" s="35">
        <v>13990999318</v>
      </c>
      <c r="H5" s="35"/>
      <c r="I5" s="35"/>
      <c r="J5" s="35"/>
      <c r="K5" s="35"/>
    </row>
    <row r="6" ht="24.95" customHeight="1" spans="1:11">
      <c r="A6" s="41" t="s">
        <v>8</v>
      </c>
      <c r="B6" s="35" t="s">
        <v>41</v>
      </c>
      <c r="C6" s="35"/>
      <c r="D6" s="35"/>
      <c r="E6" s="38"/>
      <c r="F6" s="42" t="s">
        <v>9</v>
      </c>
      <c r="G6" s="35">
        <v>15284163128</v>
      </c>
      <c r="H6" s="35"/>
      <c r="I6" s="35"/>
      <c r="J6" s="35"/>
      <c r="K6" s="35"/>
    </row>
    <row r="7" ht="24.95" customHeight="1" spans="1:11">
      <c r="A7" s="41" t="s">
        <v>58</v>
      </c>
      <c r="B7" s="43" t="s">
        <v>59</v>
      </c>
      <c r="C7" s="41" t="s">
        <v>60</v>
      </c>
      <c r="D7" s="41"/>
      <c r="E7" s="44"/>
      <c r="F7" s="43"/>
      <c r="G7" s="41"/>
      <c r="H7" s="41"/>
      <c r="I7" s="48"/>
      <c r="J7" s="41"/>
      <c r="K7" s="41"/>
    </row>
    <row r="8" s="31" customFormat="1" ht="30" customHeight="1" spans="1:14">
      <c r="A8" s="43"/>
      <c r="B8" s="43"/>
      <c r="C8" s="35" t="s">
        <v>44</v>
      </c>
      <c r="D8" s="35" t="s">
        <v>45</v>
      </c>
      <c r="E8" s="35" t="s">
        <v>46</v>
      </c>
      <c r="F8" s="35" t="s">
        <v>47</v>
      </c>
      <c r="G8" s="34" t="s">
        <v>48</v>
      </c>
      <c r="H8" s="35" t="s">
        <v>49</v>
      </c>
      <c r="I8" s="49" t="s">
        <v>50</v>
      </c>
      <c r="J8" s="49" t="s">
        <v>61</v>
      </c>
      <c r="K8" s="49" t="s">
        <v>62</v>
      </c>
      <c r="L8" s="49"/>
      <c r="M8" s="49"/>
      <c r="N8" s="50"/>
    </row>
    <row r="9" ht="25" customHeight="1" spans="1:15">
      <c r="A9" s="35">
        <v>1</v>
      </c>
      <c r="B9" s="35" t="s">
        <v>63</v>
      </c>
      <c r="C9" s="35" t="s">
        <v>51</v>
      </c>
      <c r="D9" s="45">
        <v>25</v>
      </c>
      <c r="E9" s="35" t="s">
        <v>52</v>
      </c>
      <c r="F9" s="46" t="s">
        <v>55</v>
      </c>
      <c r="G9" s="35">
        <v>1</v>
      </c>
      <c r="H9" s="35" t="s">
        <v>56</v>
      </c>
      <c r="I9" s="51">
        <v>44466</v>
      </c>
      <c r="J9" s="51">
        <f>I9+1</f>
        <v>44467</v>
      </c>
      <c r="K9" s="37">
        <f>J9+2</f>
        <v>44469</v>
      </c>
      <c r="L9" s="37"/>
      <c r="O9" s="32"/>
    </row>
    <row r="10" ht="25" customHeight="1" spans="1:15">
      <c r="A10" s="35">
        <v>2</v>
      </c>
      <c r="B10" s="35" t="s">
        <v>63</v>
      </c>
      <c r="C10" s="35" t="s">
        <v>51</v>
      </c>
      <c r="D10" s="45">
        <v>25</v>
      </c>
      <c r="E10" s="35" t="s">
        <v>52</v>
      </c>
      <c r="F10" s="46" t="s">
        <v>53</v>
      </c>
      <c r="G10" s="35">
        <v>1</v>
      </c>
      <c r="H10" s="35" t="s">
        <v>54</v>
      </c>
      <c r="I10" s="51">
        <v>44456</v>
      </c>
      <c r="J10" s="51">
        <f>I10+3</f>
        <v>44459</v>
      </c>
      <c r="K10" s="37">
        <f>J10+1</f>
        <v>44460</v>
      </c>
      <c r="L10" s="37"/>
      <c r="O10" s="32"/>
    </row>
    <row r="11" ht="25" customHeight="1" spans="1:15">
      <c r="A11" s="35"/>
      <c r="B11" s="35"/>
      <c r="C11" s="42"/>
      <c r="D11" s="42"/>
      <c r="E11" s="35"/>
      <c r="H11" s="42"/>
      <c r="I11" s="37"/>
      <c r="J11" s="37"/>
      <c r="K11" s="37"/>
      <c r="L11" s="37"/>
      <c r="O11" s="32"/>
    </row>
    <row r="12" ht="25" customHeight="1" spans="1:15">
      <c r="A12" s="35"/>
      <c r="B12" s="35"/>
      <c r="C12" s="42"/>
      <c r="D12" s="42"/>
      <c r="E12" s="35"/>
      <c r="H12" s="42"/>
      <c r="I12" s="37"/>
      <c r="J12" s="37"/>
      <c r="K12" s="37"/>
      <c r="L12" s="37"/>
      <c r="O12" s="32"/>
    </row>
    <row r="13" ht="25" customHeight="1" spans="1:15">
      <c r="A13" s="35"/>
      <c r="B13" s="35"/>
      <c r="C13" s="42"/>
      <c r="D13" s="42"/>
      <c r="E13" s="35"/>
      <c r="F13" s="42"/>
      <c r="G13" s="42"/>
      <c r="H13" s="42"/>
      <c r="I13" s="37"/>
      <c r="J13" s="37"/>
      <c r="K13" s="37"/>
      <c r="L13" s="37"/>
      <c r="O13" s="32"/>
    </row>
    <row r="14" ht="25" customHeight="1" spans="1:14">
      <c r="A14" s="35"/>
      <c r="B14" s="35"/>
      <c r="E14" s="32"/>
      <c r="F14" s="32"/>
      <c r="G14" s="32"/>
      <c r="I14" s="32"/>
      <c r="M14" s="37" t="str">
        <f t="shared" ref="M9:M30" si="0">IF(L14&lt;&gt;"",L14+1,"")</f>
        <v/>
      </c>
      <c r="N14" s="38" t="str">
        <f t="shared" ref="N9:N30" si="1">IF(L14&lt;&gt;"",M14+1,"")</f>
        <v/>
      </c>
    </row>
    <row r="15" ht="25" customHeight="1" spans="1:14">
      <c r="A15" s="35"/>
      <c r="B15" s="35"/>
      <c r="E15" s="32"/>
      <c r="F15" s="32"/>
      <c r="G15" s="32"/>
      <c r="I15" s="32"/>
      <c r="M15" s="37" t="str">
        <f t="shared" si="0"/>
        <v/>
      </c>
      <c r="N15" s="38" t="str">
        <f t="shared" si="1"/>
        <v/>
      </c>
    </row>
    <row r="16" ht="25" customHeight="1" spans="1:14">
      <c r="A16" s="35"/>
      <c r="B16" s="35"/>
      <c r="E16" s="32"/>
      <c r="F16" s="32"/>
      <c r="G16" s="32"/>
      <c r="I16" s="32"/>
      <c r="M16" s="37" t="str">
        <f t="shared" si="0"/>
        <v/>
      </c>
      <c r="N16" s="38" t="str">
        <f t="shared" si="1"/>
        <v/>
      </c>
    </row>
    <row r="17" ht="25" customHeight="1" spans="1:14">
      <c r="A17" s="35"/>
      <c r="B17" s="35"/>
      <c r="E17" s="32"/>
      <c r="F17" s="32"/>
      <c r="G17" s="32"/>
      <c r="I17" s="32"/>
      <c r="M17" s="37" t="str">
        <f t="shared" si="0"/>
        <v/>
      </c>
      <c r="N17" s="38" t="str">
        <f t="shared" si="1"/>
        <v/>
      </c>
    </row>
    <row r="18" ht="25" customHeight="1" spans="1:14">
      <c r="A18" s="35"/>
      <c r="B18" s="35"/>
      <c r="E18" s="32"/>
      <c r="F18" s="32"/>
      <c r="G18" s="32"/>
      <c r="I18" s="32"/>
      <c r="M18" s="37" t="str">
        <f t="shared" si="0"/>
        <v/>
      </c>
      <c r="N18" s="38" t="str">
        <f t="shared" si="1"/>
        <v/>
      </c>
    </row>
    <row r="19" ht="25" customHeight="1" spans="1:14">
      <c r="A19" s="35"/>
      <c r="B19" s="35"/>
      <c r="E19" s="32"/>
      <c r="F19" s="32"/>
      <c r="G19" s="32"/>
      <c r="I19" s="32"/>
      <c r="M19" s="37" t="str">
        <f t="shared" si="0"/>
        <v/>
      </c>
      <c r="N19" s="38" t="str">
        <f t="shared" si="1"/>
        <v/>
      </c>
    </row>
    <row r="20" ht="25" customHeight="1" spans="1:14">
      <c r="A20" s="35"/>
      <c r="B20" s="35"/>
      <c r="E20" s="32"/>
      <c r="F20" s="32"/>
      <c r="G20" s="32"/>
      <c r="I20" s="32"/>
      <c r="M20" s="37" t="str">
        <f t="shared" si="0"/>
        <v/>
      </c>
      <c r="N20" s="38" t="str">
        <f t="shared" si="1"/>
        <v/>
      </c>
    </row>
    <row r="21" ht="25" customHeight="1" spans="3:14">
      <c r="C21" s="35"/>
      <c r="D21" s="45"/>
      <c r="E21" s="35"/>
      <c r="F21" s="35"/>
      <c r="H21" s="35"/>
      <c r="I21" s="51"/>
      <c r="J21" s="35"/>
      <c r="M21" s="37" t="str">
        <f t="shared" si="0"/>
        <v/>
      </c>
      <c r="N21" s="38" t="str">
        <f t="shared" si="1"/>
        <v/>
      </c>
    </row>
    <row r="22" ht="25" customHeight="1" spans="5:14">
      <c r="E22" s="32"/>
      <c r="F22" s="32"/>
      <c r="G22" s="32"/>
      <c r="I22" s="32"/>
      <c r="M22" s="37" t="str">
        <f t="shared" si="0"/>
        <v/>
      </c>
      <c r="N22" s="38" t="str">
        <f t="shared" si="1"/>
        <v/>
      </c>
    </row>
    <row r="23" ht="25" customHeight="1" spans="5:14">
      <c r="E23" s="32"/>
      <c r="F23" s="32"/>
      <c r="G23" s="32"/>
      <c r="I23" s="32"/>
      <c r="M23" s="37" t="str">
        <f t="shared" si="0"/>
        <v/>
      </c>
      <c r="N23" s="38" t="str">
        <f t="shared" si="1"/>
        <v/>
      </c>
    </row>
    <row r="24" ht="25" customHeight="1" spans="5:14">
      <c r="E24" s="32"/>
      <c r="F24" s="32"/>
      <c r="G24" s="32"/>
      <c r="I24" s="32"/>
      <c r="M24" s="37" t="str">
        <f t="shared" si="0"/>
        <v/>
      </c>
      <c r="N24" s="38" t="str">
        <f t="shared" si="1"/>
        <v/>
      </c>
    </row>
    <row r="25" ht="25" customHeight="1" spans="5:14">
      <c r="E25" s="32"/>
      <c r="F25" s="32"/>
      <c r="G25" s="32"/>
      <c r="I25" s="32"/>
      <c r="M25" s="37" t="str">
        <f t="shared" si="0"/>
        <v/>
      </c>
      <c r="N25" s="38" t="str">
        <f t="shared" si="1"/>
        <v/>
      </c>
    </row>
    <row r="26" ht="25" customHeight="1" spans="5:14">
      <c r="E26" s="32"/>
      <c r="F26" s="32"/>
      <c r="G26" s="32"/>
      <c r="I26" s="32"/>
      <c r="M26" s="37" t="str">
        <f t="shared" si="0"/>
        <v/>
      </c>
      <c r="N26" s="38" t="str">
        <f t="shared" si="1"/>
        <v/>
      </c>
    </row>
    <row r="27" ht="25" customHeight="1" spans="5:14">
      <c r="E27" s="32"/>
      <c r="F27" s="32"/>
      <c r="G27" s="32"/>
      <c r="I27" s="32"/>
      <c r="M27" s="37" t="str">
        <f t="shared" si="0"/>
        <v/>
      </c>
      <c r="N27" s="38" t="str">
        <f t="shared" si="1"/>
        <v/>
      </c>
    </row>
    <row r="28" ht="25" customHeight="1" spans="5:14">
      <c r="E28" s="32"/>
      <c r="F28" s="32"/>
      <c r="G28" s="32"/>
      <c r="I28" s="32"/>
      <c r="M28" s="37" t="str">
        <f t="shared" si="0"/>
        <v/>
      </c>
      <c r="N28" s="38" t="str">
        <f t="shared" si="1"/>
        <v/>
      </c>
    </row>
    <row r="29" ht="25" customHeight="1" spans="5:14">
      <c r="E29" s="32"/>
      <c r="F29" s="32"/>
      <c r="G29" s="32"/>
      <c r="I29" s="32"/>
      <c r="M29" s="37" t="str">
        <f t="shared" si="0"/>
        <v/>
      </c>
      <c r="N29" s="38" t="str">
        <f t="shared" si="1"/>
        <v/>
      </c>
    </row>
    <row r="30" ht="25" customHeight="1" spans="5:14">
      <c r="E30" s="32"/>
      <c r="F30" s="32"/>
      <c r="G30" s="32"/>
      <c r="I30" s="32"/>
      <c r="M30" s="37" t="str">
        <f t="shared" si="0"/>
        <v/>
      </c>
      <c r="N30" s="38" t="str">
        <f t="shared" si="1"/>
        <v/>
      </c>
    </row>
    <row r="31" spans="5:9">
      <c r="E31" s="32"/>
      <c r="F31" s="32"/>
      <c r="G31" s="32"/>
      <c r="I31" s="32"/>
    </row>
    <row r="32" spans="5:9">
      <c r="E32" s="32"/>
      <c r="F32" s="32"/>
      <c r="G32" s="32"/>
      <c r="I32" s="32"/>
    </row>
    <row r="33" spans="5:9">
      <c r="E33" s="32"/>
      <c r="F33" s="32"/>
      <c r="G33" s="32"/>
      <c r="I33" s="32"/>
    </row>
    <row r="34" spans="5:9">
      <c r="E34" s="32"/>
      <c r="F34" s="32"/>
      <c r="G34" s="32"/>
      <c r="I34" s="32"/>
    </row>
    <row r="35" spans="5:9">
      <c r="E35" s="32"/>
      <c r="F35" s="32"/>
      <c r="G35" s="32"/>
      <c r="I35" s="32"/>
    </row>
    <row r="36" spans="5:9">
      <c r="E36" s="32"/>
      <c r="F36" s="32"/>
      <c r="G36" s="32"/>
      <c r="I36" s="32"/>
    </row>
    <row r="37" spans="5:9">
      <c r="E37" s="32"/>
      <c r="F37" s="32"/>
      <c r="G37" s="32"/>
      <c r="I37" s="32"/>
    </row>
    <row r="38" spans="5:9">
      <c r="E38" s="32"/>
      <c r="F38" s="32"/>
      <c r="G38" s="32"/>
      <c r="I38" s="32"/>
    </row>
    <row r="39" spans="5:9">
      <c r="E39" s="32"/>
      <c r="F39" s="32"/>
      <c r="G39" s="32"/>
      <c r="I39" s="32"/>
    </row>
    <row r="40" spans="5:9">
      <c r="E40" s="32"/>
      <c r="F40" s="32"/>
      <c r="G40" s="32"/>
      <c r="I40" s="32"/>
    </row>
    <row r="41" spans="5:9">
      <c r="E41" s="32"/>
      <c r="F41" s="32"/>
      <c r="G41" s="32"/>
      <c r="I41" s="32"/>
    </row>
    <row r="42" spans="5:9">
      <c r="E42" s="32"/>
      <c r="F42" s="32"/>
      <c r="G42" s="32"/>
      <c r="I42" s="32"/>
    </row>
    <row r="43" spans="5:9">
      <c r="E43" s="32"/>
      <c r="F43" s="32"/>
      <c r="G43" s="32"/>
      <c r="I43" s="32"/>
    </row>
    <row r="44" spans="5:9">
      <c r="E44" s="32"/>
      <c r="F44" s="32"/>
      <c r="G44" s="32"/>
      <c r="I44" s="32"/>
    </row>
    <row r="45" spans="5:9">
      <c r="E45" s="32"/>
      <c r="F45" s="32"/>
      <c r="G45" s="32"/>
      <c r="I45" s="32"/>
    </row>
    <row r="46" spans="5:9">
      <c r="E46" s="32"/>
      <c r="F46" s="32"/>
      <c r="G46" s="32"/>
      <c r="I46" s="32"/>
    </row>
    <row r="47" spans="5:9">
      <c r="E47" s="32"/>
      <c r="F47" s="32"/>
      <c r="G47" s="32"/>
      <c r="I47" s="32"/>
    </row>
    <row r="48" spans="5:9">
      <c r="E48" s="32"/>
      <c r="F48" s="32"/>
      <c r="G48" s="32"/>
      <c r="I48" s="32"/>
    </row>
    <row r="49" spans="5:9">
      <c r="E49" s="32"/>
      <c r="F49" s="32"/>
      <c r="G49" s="32"/>
      <c r="I49" s="32"/>
    </row>
    <row r="50" spans="5:9">
      <c r="E50" s="32"/>
      <c r="F50" s="32"/>
      <c r="G50" s="32"/>
      <c r="I50" s="32"/>
    </row>
    <row r="51" spans="5:9">
      <c r="E51" s="32"/>
      <c r="F51" s="32"/>
      <c r="G51" s="32"/>
      <c r="I51" s="32"/>
    </row>
    <row r="52" spans="5:9">
      <c r="E52" s="32"/>
      <c r="F52" s="32"/>
      <c r="G52" s="32"/>
      <c r="I52" s="32"/>
    </row>
    <row r="53" spans="5:9">
      <c r="E53" s="32"/>
      <c r="F53" s="32"/>
      <c r="G53" s="32"/>
      <c r="I53" s="32"/>
    </row>
    <row r="54" spans="5:9">
      <c r="E54" s="32"/>
      <c r="F54" s="32"/>
      <c r="G54" s="32"/>
      <c r="I54" s="32"/>
    </row>
    <row r="55" spans="5:9">
      <c r="E55" s="32"/>
      <c r="F55" s="32"/>
      <c r="G55" s="32"/>
      <c r="I55" s="32"/>
    </row>
    <row r="56" spans="5:9">
      <c r="E56" s="32"/>
      <c r="F56" s="32"/>
      <c r="G56" s="32"/>
      <c r="I56" s="32"/>
    </row>
    <row r="57" spans="5:9">
      <c r="E57" s="32"/>
      <c r="F57" s="32"/>
      <c r="G57" s="32"/>
      <c r="I57" s="32"/>
    </row>
    <row r="58" spans="5:9">
      <c r="E58" s="32"/>
      <c r="F58" s="32"/>
      <c r="G58" s="32"/>
      <c r="I58" s="32"/>
    </row>
    <row r="59" spans="5:9">
      <c r="E59" s="32"/>
      <c r="F59" s="32"/>
      <c r="G59" s="32"/>
      <c r="I59" s="32"/>
    </row>
    <row r="60" spans="5:9">
      <c r="E60" s="32"/>
      <c r="F60" s="32"/>
      <c r="G60" s="32"/>
      <c r="I60" s="32"/>
    </row>
    <row r="61" spans="5:9">
      <c r="E61" s="32"/>
      <c r="F61" s="32"/>
      <c r="G61" s="32"/>
      <c r="I61" s="32"/>
    </row>
    <row r="62" spans="5:9">
      <c r="E62" s="32"/>
      <c r="F62" s="32"/>
      <c r="G62" s="32"/>
      <c r="I62" s="32"/>
    </row>
    <row r="63" spans="5:9">
      <c r="E63" s="32"/>
      <c r="F63" s="32"/>
      <c r="G63" s="32"/>
      <c r="I63" s="32"/>
    </row>
    <row r="64" spans="5:9">
      <c r="E64" s="32"/>
      <c r="F64" s="32"/>
      <c r="G64" s="32"/>
      <c r="I64" s="32"/>
    </row>
    <row r="65" spans="5:9">
      <c r="E65" s="32"/>
      <c r="F65" s="32"/>
      <c r="G65" s="32"/>
      <c r="I65" s="32"/>
    </row>
    <row r="66" spans="5:9">
      <c r="E66" s="32"/>
      <c r="F66" s="32"/>
      <c r="G66" s="32"/>
      <c r="I66" s="32"/>
    </row>
    <row r="67" spans="5:9">
      <c r="E67" s="32"/>
      <c r="F67" s="32"/>
      <c r="G67" s="32"/>
      <c r="I67" s="32"/>
    </row>
    <row r="68" spans="5:9">
      <c r="E68" s="32"/>
      <c r="F68" s="32"/>
      <c r="G68" s="32"/>
      <c r="I68" s="32"/>
    </row>
    <row r="69" spans="5:9">
      <c r="E69" s="32"/>
      <c r="F69" s="32"/>
      <c r="G69" s="32"/>
      <c r="I69" s="32"/>
    </row>
    <row r="70" spans="5:9">
      <c r="E70" s="32"/>
      <c r="F70" s="32"/>
      <c r="G70" s="32"/>
      <c r="I70" s="32"/>
    </row>
    <row r="71" spans="5:9">
      <c r="E71" s="32"/>
      <c r="F71" s="32"/>
      <c r="G71" s="32"/>
      <c r="I71" s="32"/>
    </row>
    <row r="72" spans="5:9">
      <c r="E72" s="32"/>
      <c r="F72" s="32"/>
      <c r="G72" s="32"/>
      <c r="I72" s="32"/>
    </row>
    <row r="73" spans="5:9">
      <c r="E73" s="32"/>
      <c r="F73" s="32"/>
      <c r="G73" s="32"/>
      <c r="I73" s="32"/>
    </row>
    <row r="74" spans="5:9">
      <c r="E74" s="32"/>
      <c r="F74" s="32"/>
      <c r="G74" s="32"/>
      <c r="I74" s="32"/>
    </row>
    <row r="75" spans="5:9">
      <c r="E75" s="32"/>
      <c r="F75" s="32"/>
      <c r="G75" s="32"/>
      <c r="I75" s="32"/>
    </row>
    <row r="76" spans="5:9">
      <c r="E76" s="32"/>
      <c r="F76" s="32"/>
      <c r="G76" s="32"/>
      <c r="I76" s="32"/>
    </row>
    <row r="77" spans="5:9">
      <c r="E77" s="32"/>
      <c r="F77" s="32"/>
      <c r="G77" s="32"/>
      <c r="I77" s="32"/>
    </row>
    <row r="78" spans="5:9">
      <c r="E78" s="32"/>
      <c r="F78" s="32"/>
      <c r="G78" s="32"/>
      <c r="I78" s="32"/>
    </row>
    <row r="79" spans="5:9">
      <c r="E79" s="32"/>
      <c r="F79" s="32"/>
      <c r="G79" s="32"/>
      <c r="I79" s="32"/>
    </row>
    <row r="80" spans="5:9">
      <c r="E80" s="32"/>
      <c r="F80" s="32"/>
      <c r="G80" s="32"/>
      <c r="I80" s="32"/>
    </row>
    <row r="81" spans="5:9">
      <c r="E81" s="32"/>
      <c r="F81" s="32"/>
      <c r="G81" s="32"/>
      <c r="I81" s="32"/>
    </row>
    <row r="82" spans="5:9">
      <c r="E82" s="32"/>
      <c r="F82" s="32"/>
      <c r="G82" s="32"/>
      <c r="I82" s="32"/>
    </row>
    <row r="83" spans="5:9">
      <c r="E83" s="32"/>
      <c r="F83" s="32"/>
      <c r="G83" s="32"/>
      <c r="I83" s="32"/>
    </row>
    <row r="84" spans="5:9">
      <c r="E84" s="32"/>
      <c r="F84" s="32"/>
      <c r="G84" s="32"/>
      <c r="I84" s="32"/>
    </row>
    <row r="85" spans="5:9">
      <c r="E85" s="32"/>
      <c r="F85" s="32"/>
      <c r="G85" s="32"/>
      <c r="I85" s="32"/>
    </row>
    <row r="86" spans="5:9">
      <c r="E86" s="32"/>
      <c r="F86" s="32"/>
      <c r="G86" s="32"/>
      <c r="I86" s="32"/>
    </row>
    <row r="87" spans="5:9">
      <c r="E87" s="32"/>
      <c r="F87" s="32"/>
      <c r="G87" s="32"/>
      <c r="I87" s="32"/>
    </row>
    <row r="88" spans="5:9">
      <c r="E88" s="32"/>
      <c r="F88" s="32"/>
      <c r="G88" s="32"/>
      <c r="I88" s="32"/>
    </row>
    <row r="89" spans="5:9">
      <c r="E89" s="32"/>
      <c r="F89" s="32"/>
      <c r="G89" s="32"/>
      <c r="I89" s="32"/>
    </row>
    <row r="90" spans="5:9">
      <c r="E90" s="32"/>
      <c r="F90" s="32"/>
      <c r="G90" s="32"/>
      <c r="I90" s="32"/>
    </row>
    <row r="91" spans="5:9">
      <c r="E91" s="32"/>
      <c r="F91" s="32"/>
      <c r="G91" s="32"/>
      <c r="I91" s="32"/>
    </row>
    <row r="92" spans="5:9">
      <c r="E92" s="32"/>
      <c r="F92" s="32"/>
      <c r="G92" s="32"/>
      <c r="I92" s="32"/>
    </row>
    <row r="93" spans="5:9">
      <c r="E93" s="32"/>
      <c r="F93" s="32"/>
      <c r="G93" s="32"/>
      <c r="I93" s="32"/>
    </row>
    <row r="94" spans="5:9">
      <c r="E94" s="32"/>
      <c r="F94" s="32"/>
      <c r="G94" s="32"/>
      <c r="I94" s="32"/>
    </row>
    <row r="95" spans="5:9">
      <c r="E95" s="32"/>
      <c r="F95" s="32"/>
      <c r="G95" s="32"/>
      <c r="I95" s="32"/>
    </row>
    <row r="96" spans="5:9">
      <c r="E96" s="32"/>
      <c r="F96" s="32"/>
      <c r="G96" s="32"/>
      <c r="I96" s="32"/>
    </row>
    <row r="97" spans="5:9">
      <c r="E97" s="32"/>
      <c r="F97" s="32"/>
      <c r="G97" s="32"/>
      <c r="I97" s="32"/>
    </row>
    <row r="98" spans="5:9">
      <c r="E98" s="32"/>
      <c r="F98" s="32"/>
      <c r="G98" s="32"/>
      <c r="I98" s="32"/>
    </row>
    <row r="99" spans="5:9">
      <c r="E99" s="32"/>
      <c r="F99" s="32"/>
      <c r="G99" s="32"/>
      <c r="I99" s="32"/>
    </row>
    <row r="100" spans="5:9">
      <c r="E100" s="32"/>
      <c r="F100" s="32"/>
      <c r="G100" s="32"/>
      <c r="I100" s="32"/>
    </row>
    <row r="101" spans="5:9">
      <c r="E101" s="32"/>
      <c r="F101" s="32"/>
      <c r="G101" s="32"/>
      <c r="I101" s="32"/>
    </row>
    <row r="102" spans="5:9">
      <c r="E102" s="32"/>
      <c r="F102" s="32"/>
      <c r="G102" s="32"/>
      <c r="I102" s="32"/>
    </row>
    <row r="103" spans="5:9">
      <c r="E103" s="32"/>
      <c r="F103" s="32"/>
      <c r="G103" s="32"/>
      <c r="I103" s="32"/>
    </row>
    <row r="104" spans="5:9">
      <c r="E104" s="32"/>
      <c r="F104" s="32"/>
      <c r="G104" s="32"/>
      <c r="I104" s="32"/>
    </row>
    <row r="105" spans="5:9">
      <c r="E105" s="32"/>
      <c r="F105" s="32"/>
      <c r="G105" s="32"/>
      <c r="I105" s="32"/>
    </row>
    <row r="106" spans="5:9">
      <c r="E106" s="32"/>
      <c r="F106" s="32"/>
      <c r="G106" s="32"/>
      <c r="I106" s="32"/>
    </row>
    <row r="107" spans="5:9">
      <c r="E107" s="32"/>
      <c r="F107" s="32"/>
      <c r="G107" s="32"/>
      <c r="I107" s="32"/>
    </row>
    <row r="108" spans="5:9">
      <c r="E108" s="32"/>
      <c r="F108" s="32"/>
      <c r="G108" s="32"/>
      <c r="I108" s="32"/>
    </row>
    <row r="109" spans="5:9">
      <c r="E109" s="32"/>
      <c r="F109" s="32"/>
      <c r="G109" s="32"/>
      <c r="I109" s="32"/>
    </row>
    <row r="110" spans="5:9">
      <c r="E110" s="32"/>
      <c r="F110" s="32"/>
      <c r="G110" s="32"/>
      <c r="I110" s="32"/>
    </row>
    <row r="111" spans="5:9">
      <c r="E111" s="32"/>
      <c r="F111" s="32"/>
      <c r="G111" s="32"/>
      <c r="I111" s="32"/>
    </row>
    <row r="112" spans="5:9">
      <c r="E112" s="32"/>
      <c r="F112" s="32"/>
      <c r="G112" s="32"/>
      <c r="I112" s="32"/>
    </row>
    <row r="113" spans="5:9">
      <c r="E113" s="32"/>
      <c r="F113" s="32"/>
      <c r="G113" s="32"/>
      <c r="I113" s="32"/>
    </row>
    <row r="114" spans="5:9">
      <c r="E114" s="32"/>
      <c r="F114" s="32"/>
      <c r="G114" s="32"/>
      <c r="I114" s="32"/>
    </row>
    <row r="115" spans="5:9">
      <c r="E115" s="32"/>
      <c r="F115" s="32"/>
      <c r="G115" s="32"/>
      <c r="I115" s="32"/>
    </row>
    <row r="116" spans="5:9">
      <c r="E116" s="32"/>
      <c r="F116" s="32"/>
      <c r="G116" s="32"/>
      <c r="I116" s="32"/>
    </row>
    <row r="117" spans="5:9">
      <c r="E117" s="32"/>
      <c r="F117" s="32"/>
      <c r="G117" s="32"/>
      <c r="I117" s="32"/>
    </row>
    <row r="118" spans="5:9">
      <c r="E118" s="32"/>
      <c r="F118" s="32"/>
      <c r="G118" s="32"/>
      <c r="I118" s="32"/>
    </row>
    <row r="119" spans="5:9">
      <c r="E119" s="32"/>
      <c r="F119" s="32"/>
      <c r="G119" s="32"/>
      <c r="I119" s="32"/>
    </row>
    <row r="120" spans="5:9">
      <c r="E120" s="32"/>
      <c r="F120" s="32"/>
      <c r="G120" s="32"/>
      <c r="I120" s="32"/>
    </row>
    <row r="121" spans="5:9">
      <c r="E121" s="32"/>
      <c r="F121" s="32"/>
      <c r="G121" s="32"/>
      <c r="I121" s="32"/>
    </row>
    <row r="122" spans="5:9">
      <c r="E122" s="32"/>
      <c r="F122" s="32"/>
      <c r="G122" s="32"/>
      <c r="I122" s="32"/>
    </row>
    <row r="123" spans="5:9">
      <c r="E123" s="32"/>
      <c r="F123" s="32"/>
      <c r="G123" s="32"/>
      <c r="I123" s="32"/>
    </row>
    <row r="124" spans="5:9">
      <c r="E124" s="32"/>
      <c r="F124" s="32"/>
      <c r="G124" s="32"/>
      <c r="I124" s="32"/>
    </row>
    <row r="125" spans="5:9">
      <c r="E125" s="32"/>
      <c r="F125" s="32"/>
      <c r="G125" s="32"/>
      <c r="I125" s="32"/>
    </row>
    <row r="126" spans="5:9">
      <c r="E126" s="32"/>
      <c r="F126" s="32"/>
      <c r="G126" s="32"/>
      <c r="I126" s="32"/>
    </row>
    <row r="127" spans="5:9">
      <c r="E127" s="32"/>
      <c r="F127" s="32"/>
      <c r="G127" s="32"/>
      <c r="I127" s="32"/>
    </row>
    <row r="128" spans="5:9">
      <c r="E128" s="32"/>
      <c r="F128" s="32"/>
      <c r="G128" s="32"/>
      <c r="I128" s="32"/>
    </row>
    <row r="129" spans="5:9">
      <c r="E129" s="32"/>
      <c r="F129" s="32"/>
      <c r="G129" s="32"/>
      <c r="I129" s="32"/>
    </row>
    <row r="130" spans="5:9">
      <c r="E130" s="32"/>
      <c r="F130" s="32"/>
      <c r="G130" s="32"/>
      <c r="I130" s="32"/>
    </row>
    <row r="131" spans="5:9">
      <c r="E131" s="32"/>
      <c r="F131" s="32"/>
      <c r="G131" s="32"/>
      <c r="I131" s="32"/>
    </row>
    <row r="132" spans="5:9">
      <c r="E132" s="32"/>
      <c r="F132" s="32"/>
      <c r="G132" s="32"/>
      <c r="I132" s="32"/>
    </row>
    <row r="133" spans="5:9">
      <c r="E133" s="32"/>
      <c r="F133" s="32"/>
      <c r="G133" s="32"/>
      <c r="I133" s="32"/>
    </row>
    <row r="134" spans="5:9">
      <c r="E134" s="32"/>
      <c r="F134" s="32"/>
      <c r="G134" s="32"/>
      <c r="I134" s="32"/>
    </row>
    <row r="135" spans="5:9">
      <c r="E135" s="32"/>
      <c r="F135" s="32"/>
      <c r="G135" s="32"/>
      <c r="I135" s="32"/>
    </row>
    <row r="136" spans="5:9">
      <c r="E136" s="32"/>
      <c r="F136" s="32"/>
      <c r="G136" s="32"/>
      <c r="I136" s="32"/>
    </row>
    <row r="137" spans="5:9">
      <c r="E137" s="32"/>
      <c r="F137" s="32"/>
      <c r="G137" s="32"/>
      <c r="I137" s="32"/>
    </row>
    <row r="138" spans="5:9">
      <c r="E138" s="32"/>
      <c r="F138" s="32"/>
      <c r="G138" s="32"/>
      <c r="I138" s="32"/>
    </row>
    <row r="139" spans="5:9">
      <c r="E139" s="32"/>
      <c r="F139" s="32"/>
      <c r="G139" s="32"/>
      <c r="I139" s="32"/>
    </row>
    <row r="140" spans="5:9">
      <c r="E140" s="32"/>
      <c r="F140" s="32"/>
      <c r="G140" s="32"/>
      <c r="I140" s="32"/>
    </row>
    <row r="141" spans="5:9">
      <c r="E141" s="32"/>
      <c r="F141" s="32"/>
      <c r="G141" s="32"/>
      <c r="I141" s="32"/>
    </row>
    <row r="142" spans="5:9">
      <c r="E142" s="32"/>
      <c r="F142" s="32"/>
      <c r="G142" s="32"/>
      <c r="I142" s="32"/>
    </row>
    <row r="143" spans="5:9">
      <c r="E143" s="32"/>
      <c r="F143" s="32"/>
      <c r="G143" s="32"/>
      <c r="I143" s="32"/>
    </row>
    <row r="144" spans="5:9">
      <c r="E144" s="32"/>
      <c r="F144" s="32"/>
      <c r="G144" s="32"/>
      <c r="I144" s="32"/>
    </row>
    <row r="145" spans="5:9">
      <c r="E145" s="32"/>
      <c r="F145" s="32"/>
      <c r="G145" s="32"/>
      <c r="I145" s="32"/>
    </row>
    <row r="146" spans="5:9">
      <c r="E146" s="32"/>
      <c r="F146" s="32"/>
      <c r="G146" s="32"/>
      <c r="I146" s="32"/>
    </row>
    <row r="147" spans="5:9">
      <c r="E147" s="32"/>
      <c r="F147" s="32"/>
      <c r="G147" s="32"/>
      <c r="I147" s="32"/>
    </row>
    <row r="148" spans="5:9">
      <c r="E148" s="32"/>
      <c r="F148" s="32"/>
      <c r="G148" s="32"/>
      <c r="I148" s="32"/>
    </row>
    <row r="149" spans="5:9">
      <c r="E149" s="32"/>
      <c r="F149" s="32"/>
      <c r="G149" s="32"/>
      <c r="I149" s="32"/>
    </row>
    <row r="150" spans="5:9">
      <c r="E150" s="32"/>
      <c r="F150" s="32"/>
      <c r="G150" s="32"/>
      <c r="I150" s="32"/>
    </row>
    <row r="151" spans="5:9">
      <c r="E151" s="32"/>
      <c r="F151" s="32"/>
      <c r="G151" s="32"/>
      <c r="I151" s="32"/>
    </row>
    <row r="152" spans="5:9">
      <c r="E152" s="32"/>
      <c r="F152" s="32"/>
      <c r="G152" s="32"/>
      <c r="I152" s="32"/>
    </row>
    <row r="153" spans="5:9">
      <c r="E153" s="32"/>
      <c r="F153" s="32"/>
      <c r="G153" s="32"/>
      <c r="I153" s="32"/>
    </row>
    <row r="154" spans="5:9">
      <c r="E154" s="32"/>
      <c r="F154" s="32"/>
      <c r="G154" s="32"/>
      <c r="I154" s="32"/>
    </row>
    <row r="155" spans="5:9">
      <c r="E155" s="32"/>
      <c r="F155" s="32"/>
      <c r="G155" s="32"/>
      <c r="I155" s="32"/>
    </row>
    <row r="156" spans="5:9">
      <c r="E156" s="32"/>
      <c r="F156" s="32"/>
      <c r="G156" s="32"/>
      <c r="I156" s="32"/>
    </row>
    <row r="157" spans="5:9">
      <c r="E157" s="32"/>
      <c r="F157" s="32"/>
      <c r="G157" s="32"/>
      <c r="I157" s="32"/>
    </row>
    <row r="158" spans="5:9">
      <c r="E158" s="32"/>
      <c r="F158" s="32"/>
      <c r="G158" s="32"/>
      <c r="I158" s="32"/>
    </row>
    <row r="159" spans="5:9">
      <c r="E159" s="32"/>
      <c r="F159" s="32"/>
      <c r="G159" s="32"/>
      <c r="I159" s="32"/>
    </row>
    <row r="160" spans="5:9">
      <c r="E160" s="32"/>
      <c r="F160" s="32"/>
      <c r="G160" s="32"/>
      <c r="I160" s="32"/>
    </row>
    <row r="161" spans="5:9">
      <c r="E161" s="32"/>
      <c r="F161" s="32"/>
      <c r="G161" s="32"/>
      <c r="I161" s="32"/>
    </row>
    <row r="162" spans="5:9">
      <c r="E162" s="32"/>
      <c r="F162" s="32"/>
      <c r="G162" s="32"/>
      <c r="I162" s="32"/>
    </row>
    <row r="163" spans="5:9">
      <c r="E163" s="32"/>
      <c r="F163" s="32"/>
      <c r="G163" s="32"/>
      <c r="I163" s="32"/>
    </row>
    <row r="164" spans="5:9">
      <c r="E164" s="32"/>
      <c r="F164" s="32"/>
      <c r="G164" s="32"/>
      <c r="I164" s="32"/>
    </row>
    <row r="165" spans="5:9">
      <c r="E165" s="32"/>
      <c r="F165" s="32"/>
      <c r="G165" s="32"/>
      <c r="I165" s="32"/>
    </row>
    <row r="166" spans="5:9">
      <c r="E166" s="32"/>
      <c r="F166" s="32"/>
      <c r="G166" s="32"/>
      <c r="I166" s="32"/>
    </row>
    <row r="167" spans="5:9">
      <c r="E167" s="32"/>
      <c r="F167" s="32"/>
      <c r="G167" s="32"/>
      <c r="I167" s="32"/>
    </row>
    <row r="168" spans="5:9">
      <c r="E168" s="32"/>
      <c r="F168" s="32"/>
      <c r="G168" s="32"/>
      <c r="I168" s="32"/>
    </row>
    <row r="169" spans="5:9">
      <c r="E169" s="32"/>
      <c r="F169" s="32"/>
      <c r="G169" s="32"/>
      <c r="I169" s="32"/>
    </row>
    <row r="170" spans="5:9">
      <c r="E170" s="32"/>
      <c r="F170" s="32"/>
      <c r="G170" s="32"/>
      <c r="I170" s="32"/>
    </row>
    <row r="171" spans="5:9">
      <c r="E171" s="32"/>
      <c r="F171" s="32"/>
      <c r="G171" s="32"/>
      <c r="I171" s="32"/>
    </row>
    <row r="172" spans="5:9">
      <c r="E172" s="32"/>
      <c r="F172" s="32"/>
      <c r="G172" s="32"/>
      <c r="I172" s="32"/>
    </row>
    <row r="173" spans="5:9">
      <c r="E173" s="32"/>
      <c r="F173" s="32"/>
      <c r="G173" s="32"/>
      <c r="I173" s="32"/>
    </row>
    <row r="174" spans="5:9">
      <c r="E174" s="32"/>
      <c r="F174" s="32"/>
      <c r="G174" s="32"/>
      <c r="I174" s="32"/>
    </row>
    <row r="175" spans="5:9">
      <c r="E175" s="32"/>
      <c r="F175" s="32"/>
      <c r="G175" s="32"/>
      <c r="I175" s="32"/>
    </row>
    <row r="176" spans="5:9">
      <c r="E176" s="32"/>
      <c r="F176" s="32"/>
      <c r="G176" s="32"/>
      <c r="I176" s="32"/>
    </row>
    <row r="177" spans="5:9">
      <c r="E177" s="32"/>
      <c r="F177" s="32"/>
      <c r="G177" s="32"/>
      <c r="I177" s="32"/>
    </row>
    <row r="178" spans="5:9">
      <c r="E178" s="32"/>
      <c r="F178" s="32"/>
      <c r="G178" s="32"/>
      <c r="I178" s="32"/>
    </row>
    <row r="179" spans="5:9">
      <c r="E179" s="32"/>
      <c r="F179" s="32"/>
      <c r="G179" s="32"/>
      <c r="I179" s="32"/>
    </row>
    <row r="180" spans="5:9">
      <c r="E180" s="32"/>
      <c r="F180" s="32"/>
      <c r="G180" s="32"/>
      <c r="I180" s="32"/>
    </row>
    <row r="181" spans="5:9">
      <c r="E181" s="32"/>
      <c r="F181" s="32"/>
      <c r="G181" s="32"/>
      <c r="I181" s="32"/>
    </row>
    <row r="182" spans="5:9">
      <c r="E182" s="32"/>
      <c r="F182" s="32"/>
      <c r="G182" s="32"/>
      <c r="I182" s="32"/>
    </row>
    <row r="183" spans="5:9">
      <c r="E183" s="32"/>
      <c r="F183" s="32"/>
      <c r="G183" s="32"/>
      <c r="I183" s="32"/>
    </row>
    <row r="184" spans="5:9">
      <c r="E184" s="32"/>
      <c r="F184" s="32"/>
      <c r="G184" s="32"/>
      <c r="I184" s="32"/>
    </row>
    <row r="185" spans="5:9">
      <c r="E185" s="32"/>
      <c r="F185" s="32"/>
      <c r="G185" s="32"/>
      <c r="I185" s="32"/>
    </row>
    <row r="186" spans="5:9">
      <c r="E186" s="32"/>
      <c r="F186" s="32"/>
      <c r="G186" s="32"/>
      <c r="I186" s="32"/>
    </row>
    <row r="187" spans="5:9">
      <c r="E187" s="32"/>
      <c r="F187" s="32"/>
      <c r="G187" s="32"/>
      <c r="I187" s="32"/>
    </row>
    <row r="188" spans="5:9">
      <c r="E188" s="32"/>
      <c r="F188" s="32"/>
      <c r="G188" s="32"/>
      <c r="I188" s="32"/>
    </row>
    <row r="189" spans="5:9">
      <c r="E189" s="32"/>
      <c r="F189" s="32"/>
      <c r="G189" s="32"/>
      <c r="I189" s="32"/>
    </row>
    <row r="190" spans="5:9">
      <c r="E190" s="32"/>
      <c r="F190" s="32"/>
      <c r="G190" s="32"/>
      <c r="I190" s="32"/>
    </row>
    <row r="191" spans="5:9">
      <c r="E191" s="32"/>
      <c r="F191" s="32"/>
      <c r="G191" s="32"/>
      <c r="I191" s="32"/>
    </row>
    <row r="192" spans="5:9">
      <c r="E192" s="32"/>
      <c r="F192" s="32"/>
      <c r="G192" s="32"/>
      <c r="I192" s="32"/>
    </row>
    <row r="193" spans="5:9">
      <c r="E193" s="32"/>
      <c r="F193" s="32"/>
      <c r="G193" s="32"/>
      <c r="I193" s="32"/>
    </row>
    <row r="194" spans="5:9">
      <c r="E194" s="32"/>
      <c r="F194" s="32"/>
      <c r="G194" s="32"/>
      <c r="I194" s="32"/>
    </row>
    <row r="195" spans="5:9">
      <c r="E195" s="32"/>
      <c r="F195" s="32"/>
      <c r="G195" s="32"/>
      <c r="I195" s="32"/>
    </row>
    <row r="196" spans="5:9">
      <c r="E196" s="32"/>
      <c r="F196" s="32"/>
      <c r="G196" s="32"/>
      <c r="I196" s="32"/>
    </row>
    <row r="197" spans="5:9">
      <c r="E197" s="32"/>
      <c r="F197" s="32"/>
      <c r="G197" s="32"/>
      <c r="I197" s="32"/>
    </row>
    <row r="198" spans="5:9">
      <c r="E198" s="32"/>
      <c r="F198" s="32"/>
      <c r="G198" s="32"/>
      <c r="I198" s="32"/>
    </row>
    <row r="199" spans="5:9">
      <c r="E199" s="32"/>
      <c r="F199" s="32"/>
      <c r="G199" s="32"/>
      <c r="I199" s="32"/>
    </row>
    <row r="200" spans="5:9">
      <c r="E200" s="32"/>
      <c r="F200" s="32"/>
      <c r="G200" s="32"/>
      <c r="I200" s="32"/>
    </row>
    <row r="201" spans="5:9">
      <c r="E201" s="32"/>
      <c r="F201" s="32"/>
      <c r="G201" s="32"/>
      <c r="I201" s="32"/>
    </row>
    <row r="202" spans="5:9">
      <c r="E202" s="32"/>
      <c r="F202" s="32"/>
      <c r="G202" s="32"/>
      <c r="I202" s="32"/>
    </row>
    <row r="203" spans="5:9">
      <c r="E203" s="32"/>
      <c r="F203" s="32"/>
      <c r="G203" s="32"/>
      <c r="I203" s="32"/>
    </row>
    <row r="204" spans="5:9">
      <c r="E204" s="32"/>
      <c r="F204" s="32"/>
      <c r="G204" s="32"/>
      <c r="I204" s="32"/>
    </row>
    <row r="205" spans="5:9">
      <c r="E205" s="32"/>
      <c r="F205" s="32"/>
      <c r="G205" s="32"/>
      <c r="I205" s="32"/>
    </row>
    <row r="206" spans="5:9">
      <c r="E206" s="32"/>
      <c r="F206" s="32"/>
      <c r="G206" s="32"/>
      <c r="I206" s="32"/>
    </row>
    <row r="207" spans="5:9">
      <c r="E207" s="32"/>
      <c r="F207" s="32"/>
      <c r="G207" s="32"/>
      <c r="I207" s="32"/>
    </row>
    <row r="208" spans="5:9">
      <c r="E208" s="32"/>
      <c r="F208" s="32"/>
      <c r="G208" s="32"/>
      <c r="I208" s="32"/>
    </row>
    <row r="209" spans="5:9">
      <c r="E209" s="32"/>
      <c r="F209" s="32"/>
      <c r="G209" s="32"/>
      <c r="I209" s="32"/>
    </row>
    <row r="210" spans="5:9">
      <c r="E210" s="32"/>
      <c r="F210" s="32"/>
      <c r="G210" s="32"/>
      <c r="I210" s="32"/>
    </row>
    <row r="211" spans="5:9">
      <c r="E211" s="32"/>
      <c r="F211" s="32"/>
      <c r="G211" s="32"/>
      <c r="I211" s="32"/>
    </row>
    <row r="212" spans="5:9">
      <c r="E212" s="32"/>
      <c r="F212" s="32"/>
      <c r="G212" s="32"/>
      <c r="I212" s="32"/>
    </row>
    <row r="213" spans="5:9">
      <c r="E213" s="32"/>
      <c r="F213" s="32"/>
      <c r="G213" s="32"/>
      <c r="I213" s="32"/>
    </row>
    <row r="214" spans="5:9">
      <c r="E214" s="32"/>
      <c r="F214" s="32"/>
      <c r="G214" s="32"/>
      <c r="I214" s="32"/>
    </row>
    <row r="215" spans="5:9">
      <c r="E215" s="32"/>
      <c r="F215" s="32"/>
      <c r="G215" s="32"/>
      <c r="I215" s="32"/>
    </row>
    <row r="216" spans="5:9">
      <c r="E216" s="32"/>
      <c r="F216" s="32"/>
      <c r="G216" s="32"/>
      <c r="I216" s="32"/>
    </row>
    <row r="217" spans="5:9">
      <c r="E217" s="32"/>
      <c r="F217" s="32"/>
      <c r="G217" s="32"/>
      <c r="I217" s="32"/>
    </row>
    <row r="218" spans="5:9">
      <c r="E218" s="32"/>
      <c r="F218" s="32"/>
      <c r="G218" s="32"/>
      <c r="I218" s="32"/>
    </row>
    <row r="219" spans="5:9">
      <c r="E219" s="32"/>
      <c r="F219" s="32"/>
      <c r="G219" s="32"/>
      <c r="I219" s="32"/>
    </row>
    <row r="220" spans="5:9">
      <c r="E220" s="32"/>
      <c r="F220" s="32"/>
      <c r="G220" s="32"/>
      <c r="I220" s="32"/>
    </row>
    <row r="221" spans="5:9">
      <c r="E221" s="32"/>
      <c r="F221" s="32"/>
      <c r="G221" s="32"/>
      <c r="I221" s="32"/>
    </row>
    <row r="222" spans="5:9">
      <c r="E222" s="32"/>
      <c r="F222" s="32"/>
      <c r="G222" s="32"/>
      <c r="I222" s="32"/>
    </row>
    <row r="223" spans="5:9">
      <c r="E223" s="32"/>
      <c r="F223" s="32"/>
      <c r="G223" s="32"/>
      <c r="I223" s="32"/>
    </row>
    <row r="224" spans="5:9">
      <c r="E224" s="32"/>
      <c r="F224" s="32"/>
      <c r="G224" s="32"/>
      <c r="I224" s="32"/>
    </row>
    <row r="225" spans="5:9">
      <c r="E225" s="32"/>
      <c r="F225" s="32"/>
      <c r="G225" s="32"/>
      <c r="I225" s="32"/>
    </row>
    <row r="226" spans="5:9">
      <c r="E226" s="32"/>
      <c r="F226" s="32"/>
      <c r="G226" s="32"/>
      <c r="I226" s="32"/>
    </row>
    <row r="227" spans="5:9">
      <c r="E227" s="32"/>
      <c r="F227" s="32"/>
      <c r="G227" s="32"/>
      <c r="I227" s="32"/>
    </row>
    <row r="228" spans="5:9">
      <c r="E228" s="32"/>
      <c r="F228" s="32"/>
      <c r="G228" s="32"/>
      <c r="I228" s="32"/>
    </row>
    <row r="229" spans="5:9">
      <c r="E229" s="32"/>
      <c r="F229" s="32"/>
      <c r="G229" s="32"/>
      <c r="I229" s="32"/>
    </row>
    <row r="230" spans="5:9">
      <c r="E230" s="32"/>
      <c r="F230" s="32"/>
      <c r="G230" s="32"/>
      <c r="I230" s="32"/>
    </row>
    <row r="231" spans="5:9">
      <c r="E231" s="32"/>
      <c r="F231" s="32"/>
      <c r="G231" s="32"/>
      <c r="I231" s="32"/>
    </row>
    <row r="232" spans="5:9">
      <c r="E232" s="32"/>
      <c r="F232" s="32"/>
      <c r="G232" s="32"/>
      <c r="I232" s="32"/>
    </row>
    <row r="233" spans="5:9">
      <c r="E233" s="32"/>
      <c r="F233" s="32"/>
      <c r="G233" s="32"/>
      <c r="I233" s="32"/>
    </row>
    <row r="234" spans="5:9">
      <c r="E234" s="32"/>
      <c r="F234" s="32"/>
      <c r="G234" s="32"/>
      <c r="I234" s="32"/>
    </row>
    <row r="235" spans="5:9">
      <c r="E235" s="32"/>
      <c r="F235" s="32"/>
      <c r="G235" s="32"/>
      <c r="I235" s="32"/>
    </row>
    <row r="236" spans="5:9">
      <c r="E236" s="32"/>
      <c r="F236" s="32"/>
      <c r="G236" s="32"/>
      <c r="I236" s="32"/>
    </row>
    <row r="237" spans="5:9">
      <c r="E237" s="32"/>
      <c r="F237" s="32"/>
      <c r="G237" s="32"/>
      <c r="I237" s="32"/>
    </row>
    <row r="238" spans="5:9">
      <c r="E238" s="32"/>
      <c r="F238" s="32"/>
      <c r="G238" s="32"/>
      <c r="I238" s="32"/>
    </row>
    <row r="239" spans="5:9">
      <c r="E239" s="32"/>
      <c r="F239" s="32"/>
      <c r="G239" s="32"/>
      <c r="I239" s="32"/>
    </row>
    <row r="240" spans="5:9">
      <c r="E240" s="32"/>
      <c r="F240" s="32"/>
      <c r="G240" s="32"/>
      <c r="I240" s="32"/>
    </row>
    <row r="241" spans="5:9">
      <c r="E241" s="32"/>
      <c r="F241" s="32"/>
      <c r="G241" s="32"/>
      <c r="I241" s="32"/>
    </row>
    <row r="242" spans="5:9">
      <c r="E242" s="32"/>
      <c r="F242" s="32"/>
      <c r="G242" s="32"/>
      <c r="I242" s="32"/>
    </row>
    <row r="243" spans="5:9">
      <c r="E243" s="32"/>
      <c r="F243" s="32"/>
      <c r="G243" s="32"/>
      <c r="I243" s="32"/>
    </row>
    <row r="244" spans="5:9">
      <c r="E244" s="32"/>
      <c r="F244" s="32"/>
      <c r="G244" s="32"/>
      <c r="I244" s="32"/>
    </row>
    <row r="245" spans="5:9">
      <c r="E245" s="32"/>
      <c r="F245" s="32"/>
      <c r="G245" s="32"/>
      <c r="I245" s="32"/>
    </row>
    <row r="246" spans="5:9">
      <c r="E246" s="32"/>
      <c r="F246" s="32"/>
      <c r="G246" s="32"/>
      <c r="I246" s="32"/>
    </row>
    <row r="247" spans="5:9">
      <c r="E247" s="32"/>
      <c r="F247" s="32"/>
      <c r="G247" s="32"/>
      <c r="I247" s="32"/>
    </row>
    <row r="248" spans="5:9">
      <c r="E248" s="32"/>
      <c r="F248" s="32"/>
      <c r="G248" s="32"/>
      <c r="I248" s="32"/>
    </row>
    <row r="249" spans="5:9">
      <c r="E249" s="32"/>
      <c r="F249" s="32"/>
      <c r="G249" s="32"/>
      <c r="I249" s="32"/>
    </row>
    <row r="250" spans="5:9">
      <c r="E250" s="32"/>
      <c r="F250" s="32"/>
      <c r="G250" s="32"/>
      <c r="I250" s="32"/>
    </row>
    <row r="251" spans="5:9">
      <c r="E251" s="32"/>
      <c r="F251" s="32"/>
      <c r="G251" s="32"/>
      <c r="I251" s="32"/>
    </row>
    <row r="252" spans="5:9">
      <c r="E252" s="32"/>
      <c r="F252" s="32"/>
      <c r="G252" s="32"/>
      <c r="I252" s="32"/>
    </row>
    <row r="253" spans="5:9">
      <c r="E253" s="32"/>
      <c r="F253" s="32"/>
      <c r="G253" s="32"/>
      <c r="I253" s="32"/>
    </row>
    <row r="254" spans="5:9">
      <c r="E254" s="32"/>
      <c r="F254" s="32"/>
      <c r="G254" s="32"/>
      <c r="I254" s="32"/>
    </row>
    <row r="255" spans="5:9">
      <c r="E255" s="32"/>
      <c r="F255" s="32"/>
      <c r="G255" s="32"/>
      <c r="I255" s="32"/>
    </row>
    <row r="256" spans="5:9">
      <c r="E256" s="32"/>
      <c r="F256" s="32"/>
      <c r="G256" s="32"/>
      <c r="I256" s="32"/>
    </row>
    <row r="257" spans="5:9">
      <c r="E257" s="32"/>
      <c r="F257" s="32"/>
      <c r="G257" s="32"/>
      <c r="I257" s="32"/>
    </row>
    <row r="258" spans="5:9">
      <c r="E258" s="32"/>
      <c r="F258" s="32"/>
      <c r="G258" s="32"/>
      <c r="I258" s="32"/>
    </row>
    <row r="259" spans="5:9">
      <c r="E259" s="32"/>
      <c r="F259" s="32"/>
      <c r="G259" s="32"/>
      <c r="I259" s="32"/>
    </row>
    <row r="260" spans="5:9">
      <c r="E260" s="32"/>
      <c r="F260" s="32"/>
      <c r="G260" s="32"/>
      <c r="I260" s="32"/>
    </row>
    <row r="261" spans="5:9">
      <c r="E261" s="32"/>
      <c r="F261" s="32"/>
      <c r="G261" s="32"/>
      <c r="I261" s="32"/>
    </row>
    <row r="262" spans="5:9">
      <c r="E262" s="32"/>
      <c r="F262" s="32"/>
      <c r="G262" s="32"/>
      <c r="I262" s="32"/>
    </row>
    <row r="263" spans="5:9">
      <c r="E263" s="32"/>
      <c r="F263" s="32"/>
      <c r="G263" s="32"/>
      <c r="I263" s="32"/>
    </row>
    <row r="264" spans="5:9">
      <c r="E264" s="32"/>
      <c r="F264" s="32"/>
      <c r="G264" s="32"/>
      <c r="I264" s="32"/>
    </row>
    <row r="265" spans="5:9">
      <c r="E265" s="32"/>
      <c r="F265" s="32"/>
      <c r="G265" s="32"/>
      <c r="I265" s="32"/>
    </row>
    <row r="266" spans="5:9">
      <c r="E266" s="32"/>
      <c r="F266" s="32"/>
      <c r="G266" s="32"/>
      <c r="I266" s="32"/>
    </row>
    <row r="267" spans="5:9">
      <c r="E267" s="32"/>
      <c r="F267" s="32"/>
      <c r="G267" s="32"/>
      <c r="I267" s="32"/>
    </row>
    <row r="268" spans="5:9">
      <c r="E268" s="32"/>
      <c r="F268" s="32"/>
      <c r="G268" s="32"/>
      <c r="I268" s="32"/>
    </row>
    <row r="269" spans="5:9">
      <c r="E269" s="32"/>
      <c r="F269" s="32"/>
      <c r="G269" s="32"/>
      <c r="I269" s="32"/>
    </row>
    <row r="270" spans="5:9">
      <c r="E270" s="32"/>
      <c r="F270" s="32"/>
      <c r="G270" s="32"/>
      <c r="I270" s="32"/>
    </row>
    <row r="271" spans="5:9">
      <c r="E271" s="32"/>
      <c r="F271" s="32"/>
      <c r="G271" s="32"/>
      <c r="I271" s="32"/>
    </row>
    <row r="272" spans="5:9">
      <c r="E272" s="32"/>
      <c r="F272" s="32"/>
      <c r="G272" s="32"/>
      <c r="I272" s="32"/>
    </row>
    <row r="273" spans="5:9">
      <c r="E273" s="32"/>
      <c r="F273" s="32"/>
      <c r="G273" s="32"/>
      <c r="I273" s="32"/>
    </row>
    <row r="274" spans="5:9">
      <c r="E274" s="32"/>
      <c r="F274" s="32"/>
      <c r="G274" s="32"/>
      <c r="I274" s="32"/>
    </row>
    <row r="275" spans="5:9">
      <c r="E275" s="32"/>
      <c r="F275" s="32"/>
      <c r="G275" s="32"/>
      <c r="I275" s="32"/>
    </row>
    <row r="276" spans="5:9">
      <c r="E276" s="32"/>
      <c r="F276" s="32"/>
      <c r="G276" s="32"/>
      <c r="I276" s="32"/>
    </row>
    <row r="277" spans="5:9">
      <c r="E277" s="32"/>
      <c r="F277" s="32"/>
      <c r="G277" s="32"/>
      <c r="I277" s="32"/>
    </row>
    <row r="278" spans="5:9">
      <c r="E278" s="32"/>
      <c r="F278" s="32"/>
      <c r="G278" s="32"/>
      <c r="I278" s="32"/>
    </row>
    <row r="279" spans="5:9">
      <c r="E279" s="32"/>
      <c r="F279" s="32"/>
      <c r="G279" s="32"/>
      <c r="I279" s="32"/>
    </row>
    <row r="280" spans="5:9">
      <c r="E280" s="32"/>
      <c r="F280" s="32"/>
      <c r="G280" s="32"/>
      <c r="I280" s="32"/>
    </row>
    <row r="281" spans="5:9">
      <c r="E281" s="32"/>
      <c r="F281" s="32"/>
      <c r="G281" s="32"/>
      <c r="I281" s="32"/>
    </row>
    <row r="282" spans="5:9">
      <c r="E282" s="32"/>
      <c r="F282" s="32"/>
      <c r="G282" s="32"/>
      <c r="I282" s="32"/>
    </row>
    <row r="283" spans="5:9">
      <c r="E283" s="32"/>
      <c r="F283" s="32"/>
      <c r="G283" s="32"/>
      <c r="I283" s="32"/>
    </row>
    <row r="284" spans="5:9">
      <c r="E284" s="32"/>
      <c r="F284" s="32"/>
      <c r="G284" s="32"/>
      <c r="I284" s="32"/>
    </row>
    <row r="285" spans="5:9">
      <c r="E285" s="32"/>
      <c r="F285" s="32"/>
      <c r="G285" s="32"/>
      <c r="I285" s="32"/>
    </row>
    <row r="286" spans="5:9">
      <c r="E286" s="32"/>
      <c r="F286" s="32"/>
      <c r="G286" s="32"/>
      <c r="I286" s="32"/>
    </row>
    <row r="287" spans="5:9">
      <c r="E287" s="32"/>
      <c r="F287" s="32"/>
      <c r="G287" s="32"/>
      <c r="I287" s="32"/>
    </row>
    <row r="288" spans="5:9">
      <c r="E288" s="32"/>
      <c r="F288" s="32"/>
      <c r="G288" s="32"/>
      <c r="I288" s="32"/>
    </row>
    <row r="289" spans="5:9">
      <c r="E289" s="32"/>
      <c r="F289" s="32"/>
      <c r="G289" s="32"/>
      <c r="I289" s="32"/>
    </row>
    <row r="290" spans="5:9">
      <c r="E290" s="32"/>
      <c r="F290" s="32"/>
      <c r="G290" s="32"/>
      <c r="I290" s="32"/>
    </row>
    <row r="291" spans="5:9">
      <c r="E291" s="32"/>
      <c r="F291" s="32"/>
      <c r="G291" s="32"/>
      <c r="I291" s="32"/>
    </row>
    <row r="292" spans="5:9">
      <c r="E292" s="32"/>
      <c r="F292" s="32"/>
      <c r="G292" s="32"/>
      <c r="I292" s="32"/>
    </row>
    <row r="293" spans="5:9">
      <c r="E293" s="32"/>
      <c r="F293" s="32"/>
      <c r="G293" s="32"/>
      <c r="I293" s="32"/>
    </row>
    <row r="294" spans="5:9">
      <c r="E294" s="32"/>
      <c r="F294" s="32"/>
      <c r="G294" s="32"/>
      <c r="I294" s="32"/>
    </row>
    <row r="295" spans="5:9">
      <c r="E295" s="32"/>
      <c r="F295" s="32"/>
      <c r="G295" s="32"/>
      <c r="I295" s="32"/>
    </row>
    <row r="296" spans="5:9">
      <c r="E296" s="32"/>
      <c r="F296" s="32"/>
      <c r="G296" s="32"/>
      <c r="I296" s="32"/>
    </row>
    <row r="297" spans="5:9">
      <c r="E297" s="32"/>
      <c r="F297" s="32"/>
      <c r="G297" s="32"/>
      <c r="I297" s="32"/>
    </row>
    <row r="298" spans="5:9">
      <c r="E298" s="32"/>
      <c r="F298" s="32"/>
      <c r="G298" s="32"/>
      <c r="I298" s="32"/>
    </row>
    <row r="299" spans="5:9">
      <c r="E299" s="32"/>
      <c r="F299" s="32"/>
      <c r="G299" s="32"/>
      <c r="I299" s="32"/>
    </row>
    <row r="300" spans="5:9">
      <c r="E300" s="32"/>
      <c r="F300" s="32"/>
      <c r="G300" s="32"/>
      <c r="I300" s="32"/>
    </row>
    <row r="301" spans="5:9">
      <c r="E301" s="32"/>
      <c r="F301" s="32"/>
      <c r="G301" s="32"/>
      <c r="I301" s="32"/>
    </row>
    <row r="302" spans="5:9">
      <c r="E302" s="32"/>
      <c r="F302" s="32"/>
      <c r="G302" s="32"/>
      <c r="I302" s="32"/>
    </row>
    <row r="303" spans="5:9">
      <c r="E303" s="32"/>
      <c r="F303" s="32"/>
      <c r="G303" s="32"/>
      <c r="I303" s="32"/>
    </row>
    <row r="304" spans="5:9">
      <c r="E304" s="32"/>
      <c r="F304" s="32"/>
      <c r="G304" s="32"/>
      <c r="I304" s="32"/>
    </row>
    <row r="305" spans="5:9">
      <c r="E305" s="32"/>
      <c r="F305" s="32"/>
      <c r="G305" s="32"/>
      <c r="I305" s="32"/>
    </row>
    <row r="306" spans="5:9">
      <c r="E306" s="32"/>
      <c r="F306" s="32"/>
      <c r="G306" s="32"/>
      <c r="I306" s="32"/>
    </row>
    <row r="307" spans="5:9">
      <c r="E307" s="32"/>
      <c r="F307" s="32"/>
      <c r="G307" s="32"/>
      <c r="I307" s="32"/>
    </row>
    <row r="308" spans="5:9">
      <c r="E308" s="32"/>
      <c r="F308" s="32"/>
      <c r="G308" s="32"/>
      <c r="I308" s="32"/>
    </row>
    <row r="309" spans="5:9">
      <c r="E309" s="32"/>
      <c r="F309" s="32"/>
      <c r="G309" s="32"/>
      <c r="I309" s="32"/>
    </row>
    <row r="310" spans="5:9">
      <c r="E310" s="32"/>
      <c r="F310" s="32"/>
      <c r="G310" s="32"/>
      <c r="I310" s="32"/>
    </row>
    <row r="311" spans="5:9">
      <c r="E311" s="32"/>
      <c r="F311" s="32"/>
      <c r="G311" s="32"/>
      <c r="I311" s="32"/>
    </row>
    <row r="312" spans="5:9">
      <c r="E312" s="32"/>
      <c r="F312" s="32"/>
      <c r="G312" s="32"/>
      <c r="I312" s="32"/>
    </row>
    <row r="313" spans="5:9">
      <c r="E313" s="32"/>
      <c r="F313" s="32"/>
      <c r="G313" s="32"/>
      <c r="I313" s="32"/>
    </row>
    <row r="314" spans="5:9">
      <c r="E314" s="32"/>
      <c r="F314" s="32"/>
      <c r="G314" s="32"/>
      <c r="I314" s="32"/>
    </row>
    <row r="315" spans="5:9">
      <c r="E315" s="32"/>
      <c r="F315" s="32"/>
      <c r="G315" s="32"/>
      <c r="I315" s="32"/>
    </row>
    <row r="316" spans="5:9">
      <c r="E316" s="32"/>
      <c r="F316" s="32"/>
      <c r="G316" s="32"/>
      <c r="I316" s="32"/>
    </row>
    <row r="317" spans="5:9">
      <c r="E317" s="32"/>
      <c r="F317" s="32"/>
      <c r="G317" s="32"/>
      <c r="I317" s="32"/>
    </row>
    <row r="318" spans="5:9">
      <c r="E318" s="32"/>
      <c r="F318" s="32"/>
      <c r="G318" s="32"/>
      <c r="I318" s="32"/>
    </row>
    <row r="319" spans="5:9">
      <c r="E319" s="32"/>
      <c r="F319" s="32"/>
      <c r="G319" s="32"/>
      <c r="I319" s="32"/>
    </row>
    <row r="320" spans="5:9">
      <c r="E320" s="32"/>
      <c r="F320" s="32"/>
      <c r="G320" s="32"/>
      <c r="I320" s="32"/>
    </row>
    <row r="321" spans="5:9">
      <c r="E321" s="32"/>
      <c r="F321" s="32"/>
      <c r="G321" s="32"/>
      <c r="I321" s="32"/>
    </row>
    <row r="322" spans="5:9">
      <c r="E322" s="32"/>
      <c r="F322" s="32"/>
      <c r="G322" s="32"/>
      <c r="I322" s="32"/>
    </row>
    <row r="323" spans="5:9">
      <c r="E323" s="32"/>
      <c r="F323" s="32"/>
      <c r="G323" s="32"/>
      <c r="I323" s="32"/>
    </row>
    <row r="324" spans="5:9">
      <c r="E324" s="32"/>
      <c r="F324" s="32"/>
      <c r="G324" s="32"/>
      <c r="I324" s="32"/>
    </row>
    <row r="325" spans="5:9">
      <c r="E325" s="32"/>
      <c r="F325" s="32"/>
      <c r="G325" s="32"/>
      <c r="I325" s="32"/>
    </row>
    <row r="326" spans="5:9">
      <c r="E326" s="32"/>
      <c r="F326" s="32"/>
      <c r="G326" s="32"/>
      <c r="I326" s="32"/>
    </row>
    <row r="327" spans="5:9">
      <c r="E327" s="32"/>
      <c r="F327" s="32"/>
      <c r="G327" s="32"/>
      <c r="I327" s="32"/>
    </row>
    <row r="328" spans="5:9">
      <c r="E328" s="32"/>
      <c r="F328" s="32"/>
      <c r="G328" s="32"/>
      <c r="I328" s="32"/>
    </row>
    <row r="329" spans="5:9">
      <c r="E329" s="32"/>
      <c r="F329" s="32"/>
      <c r="G329" s="32"/>
      <c r="I329" s="32"/>
    </row>
    <row r="330" spans="5:9">
      <c r="E330" s="32"/>
      <c r="F330" s="32"/>
      <c r="G330" s="32"/>
      <c r="I330" s="32"/>
    </row>
    <row r="331" spans="5:9">
      <c r="E331" s="32"/>
      <c r="F331" s="32"/>
      <c r="G331" s="32"/>
      <c r="I331" s="32"/>
    </row>
    <row r="332" spans="5:9">
      <c r="E332" s="32"/>
      <c r="F332" s="32"/>
      <c r="G332" s="32"/>
      <c r="I332" s="32"/>
    </row>
    <row r="333" spans="5:9">
      <c r="E333" s="32"/>
      <c r="F333" s="32"/>
      <c r="G333" s="32"/>
      <c r="I333" s="32"/>
    </row>
    <row r="334" spans="5:9">
      <c r="E334" s="32"/>
      <c r="F334" s="32"/>
      <c r="G334" s="32"/>
      <c r="I334" s="32"/>
    </row>
    <row r="335" spans="5:9">
      <c r="E335" s="32"/>
      <c r="F335" s="32"/>
      <c r="G335" s="32"/>
      <c r="I335" s="32"/>
    </row>
    <row r="336" spans="5:9">
      <c r="E336" s="32"/>
      <c r="F336" s="32"/>
      <c r="G336" s="32"/>
      <c r="I336" s="32"/>
    </row>
    <row r="337" spans="5:9">
      <c r="E337" s="32"/>
      <c r="F337" s="32"/>
      <c r="G337" s="32"/>
      <c r="I337" s="32"/>
    </row>
    <row r="338" spans="5:9">
      <c r="E338" s="32"/>
      <c r="F338" s="32"/>
      <c r="G338" s="32"/>
      <c r="I338" s="32"/>
    </row>
    <row r="339" spans="5:9">
      <c r="E339" s="32"/>
      <c r="F339" s="32"/>
      <c r="G339" s="32"/>
      <c r="I339" s="32"/>
    </row>
    <row r="340" spans="5:9">
      <c r="E340" s="32"/>
      <c r="F340" s="32"/>
      <c r="G340" s="32"/>
      <c r="I340" s="32"/>
    </row>
    <row r="341" spans="5:9">
      <c r="E341" s="32"/>
      <c r="F341" s="32"/>
      <c r="G341" s="32"/>
      <c r="I341" s="32"/>
    </row>
    <row r="342" spans="5:9">
      <c r="E342" s="32"/>
      <c r="F342" s="32"/>
      <c r="G342" s="32"/>
      <c r="I342" s="32"/>
    </row>
    <row r="343" spans="5:9">
      <c r="E343" s="32"/>
      <c r="F343" s="32"/>
      <c r="G343" s="32"/>
      <c r="I343" s="32"/>
    </row>
    <row r="344" spans="5:9">
      <c r="E344" s="32"/>
      <c r="F344" s="32"/>
      <c r="G344" s="32"/>
      <c r="I344" s="32"/>
    </row>
    <row r="345" spans="5:9">
      <c r="E345" s="32"/>
      <c r="F345" s="32"/>
      <c r="G345" s="32"/>
      <c r="I345" s="32"/>
    </row>
    <row r="346" spans="5:9">
      <c r="E346" s="32"/>
      <c r="F346" s="32"/>
      <c r="G346" s="32"/>
      <c r="I346" s="32"/>
    </row>
    <row r="347" spans="5:9">
      <c r="E347" s="32"/>
      <c r="F347" s="32"/>
      <c r="G347" s="32"/>
      <c r="I347" s="32"/>
    </row>
    <row r="348" spans="5:9">
      <c r="E348" s="32"/>
      <c r="F348" s="32"/>
      <c r="G348" s="32"/>
      <c r="I348" s="32"/>
    </row>
    <row r="349" spans="5:9">
      <c r="E349" s="32"/>
      <c r="F349" s="32"/>
      <c r="G349" s="32"/>
      <c r="I349" s="32"/>
    </row>
    <row r="350" spans="5:9">
      <c r="E350" s="32"/>
      <c r="F350" s="32"/>
      <c r="G350" s="32"/>
      <c r="I350" s="32"/>
    </row>
    <row r="351" spans="5:9">
      <c r="E351" s="32"/>
      <c r="F351" s="32"/>
      <c r="G351" s="32"/>
      <c r="I351" s="32"/>
    </row>
    <row r="352" spans="5:9">
      <c r="E352" s="32"/>
      <c r="F352" s="32"/>
      <c r="G352" s="32"/>
      <c r="I352" s="32"/>
    </row>
    <row r="353" spans="5:9">
      <c r="E353" s="32"/>
      <c r="F353" s="32"/>
      <c r="G353" s="32"/>
      <c r="I353" s="32"/>
    </row>
    <row r="354" spans="5:9">
      <c r="E354" s="32"/>
      <c r="F354" s="32"/>
      <c r="G354" s="32"/>
      <c r="I354" s="32"/>
    </row>
    <row r="355" spans="5:9">
      <c r="E355" s="32"/>
      <c r="F355" s="32"/>
      <c r="G355" s="32"/>
      <c r="I355" s="32"/>
    </row>
    <row r="356" spans="5:9">
      <c r="E356" s="32"/>
      <c r="F356" s="32"/>
      <c r="G356" s="32"/>
      <c r="I356" s="32"/>
    </row>
    <row r="357" spans="5:9">
      <c r="E357" s="32"/>
      <c r="F357" s="32"/>
      <c r="G357" s="32"/>
      <c r="I357" s="32"/>
    </row>
    <row r="358" spans="5:9">
      <c r="E358" s="32"/>
      <c r="F358" s="32"/>
      <c r="G358" s="32"/>
      <c r="I358" s="32"/>
    </row>
    <row r="359" spans="5:9">
      <c r="E359" s="32"/>
      <c r="F359" s="32"/>
      <c r="G359" s="32"/>
      <c r="I359" s="32"/>
    </row>
    <row r="360" spans="5:9">
      <c r="E360" s="32"/>
      <c r="F360" s="32"/>
      <c r="G360" s="32"/>
      <c r="I360" s="32"/>
    </row>
    <row r="361" spans="5:9">
      <c r="E361" s="32"/>
      <c r="F361" s="32"/>
      <c r="G361" s="32"/>
      <c r="I361" s="32"/>
    </row>
    <row r="362" spans="5:9">
      <c r="E362" s="32"/>
      <c r="F362" s="32"/>
      <c r="G362" s="32"/>
      <c r="I362" s="32"/>
    </row>
    <row r="363" spans="5:9">
      <c r="E363" s="32"/>
      <c r="F363" s="32"/>
      <c r="G363" s="32"/>
      <c r="I363" s="32"/>
    </row>
    <row r="364" spans="5:9">
      <c r="E364" s="32"/>
      <c r="F364" s="32"/>
      <c r="G364" s="32"/>
      <c r="I364" s="32"/>
    </row>
    <row r="365" spans="5:9">
      <c r="E365" s="32"/>
      <c r="F365" s="32"/>
      <c r="G365" s="32"/>
      <c r="I365" s="32"/>
    </row>
    <row r="366" spans="5:9">
      <c r="E366" s="32"/>
      <c r="F366" s="32"/>
      <c r="G366" s="32"/>
      <c r="I366" s="32"/>
    </row>
    <row r="367" spans="5:9">
      <c r="E367" s="32"/>
      <c r="F367" s="32"/>
      <c r="G367" s="32"/>
      <c r="I367" s="32"/>
    </row>
    <row r="368" spans="5:9">
      <c r="E368" s="32"/>
      <c r="F368" s="32"/>
      <c r="G368" s="32"/>
      <c r="I368" s="32"/>
    </row>
    <row r="369" spans="5:9">
      <c r="E369" s="32"/>
      <c r="F369" s="32"/>
      <c r="G369" s="32"/>
      <c r="I369" s="32"/>
    </row>
    <row r="370" spans="5:9">
      <c r="E370" s="32"/>
      <c r="F370" s="32"/>
      <c r="G370" s="32"/>
      <c r="I370" s="32"/>
    </row>
    <row r="371" spans="5:9">
      <c r="E371" s="32"/>
      <c r="F371" s="32"/>
      <c r="G371" s="32"/>
      <c r="I371" s="32"/>
    </row>
    <row r="372" spans="5:9">
      <c r="E372" s="32"/>
      <c r="F372" s="32"/>
      <c r="G372" s="32"/>
      <c r="I372" s="32"/>
    </row>
    <row r="373" spans="5:9">
      <c r="E373" s="32"/>
      <c r="F373" s="32"/>
      <c r="G373" s="32"/>
      <c r="I373" s="32"/>
    </row>
    <row r="374" spans="5:9">
      <c r="E374" s="32"/>
      <c r="F374" s="32"/>
      <c r="G374" s="32"/>
      <c r="I374" s="32"/>
    </row>
    <row r="375" spans="5:9">
      <c r="E375" s="32"/>
      <c r="F375" s="32"/>
      <c r="G375" s="32"/>
      <c r="I375" s="32"/>
    </row>
    <row r="376" spans="5:9">
      <c r="E376" s="32"/>
      <c r="F376" s="32"/>
      <c r="G376" s="32"/>
      <c r="I376" s="32"/>
    </row>
    <row r="377" spans="5:9">
      <c r="E377" s="32"/>
      <c r="F377" s="32"/>
      <c r="G377" s="32"/>
      <c r="I377" s="32"/>
    </row>
    <row r="378" spans="5:9">
      <c r="E378" s="32"/>
      <c r="F378" s="32"/>
      <c r="G378" s="32"/>
      <c r="I378" s="32"/>
    </row>
    <row r="379" spans="5:9">
      <c r="E379" s="32"/>
      <c r="F379" s="32"/>
      <c r="G379" s="32"/>
      <c r="I379" s="32"/>
    </row>
    <row r="380" spans="5:9">
      <c r="E380" s="32"/>
      <c r="F380" s="32"/>
      <c r="G380" s="32"/>
      <c r="I380" s="32"/>
    </row>
    <row r="381" spans="5:9">
      <c r="E381" s="32"/>
      <c r="F381" s="32"/>
      <c r="G381" s="32"/>
      <c r="I381" s="32"/>
    </row>
    <row r="382" spans="5:9">
      <c r="E382" s="32"/>
      <c r="F382" s="32"/>
      <c r="G382" s="32"/>
      <c r="I382" s="32"/>
    </row>
    <row r="383" spans="5:9">
      <c r="E383" s="32"/>
      <c r="F383" s="32"/>
      <c r="G383" s="32"/>
      <c r="I383" s="32"/>
    </row>
    <row r="384" spans="5:9">
      <c r="E384" s="32"/>
      <c r="F384" s="32"/>
      <c r="G384" s="32"/>
      <c r="I384" s="32"/>
    </row>
    <row r="385" spans="5:9">
      <c r="E385" s="32"/>
      <c r="F385" s="32"/>
      <c r="G385" s="32"/>
      <c r="I385" s="32"/>
    </row>
    <row r="386" spans="5:9">
      <c r="E386" s="32"/>
      <c r="F386" s="32"/>
      <c r="G386" s="32"/>
      <c r="I386" s="32"/>
    </row>
    <row r="387" spans="5:9">
      <c r="E387" s="32"/>
      <c r="F387" s="32"/>
      <c r="G387" s="32"/>
      <c r="I387" s="32"/>
    </row>
    <row r="388" spans="5:9">
      <c r="E388" s="32"/>
      <c r="F388" s="32"/>
      <c r="G388" s="32"/>
      <c r="I388" s="32"/>
    </row>
    <row r="389" spans="5:9">
      <c r="E389" s="32"/>
      <c r="F389" s="32"/>
      <c r="G389" s="32"/>
      <c r="I389" s="32"/>
    </row>
    <row r="390" spans="5:9">
      <c r="E390" s="32"/>
      <c r="F390" s="32"/>
      <c r="G390" s="32"/>
      <c r="I390" s="32"/>
    </row>
    <row r="391" spans="5:9">
      <c r="E391" s="32"/>
      <c r="F391" s="32"/>
      <c r="G391" s="32"/>
      <c r="I391" s="32"/>
    </row>
    <row r="392" spans="5:9">
      <c r="E392" s="32"/>
      <c r="F392" s="32"/>
      <c r="G392" s="32"/>
      <c r="I392" s="32"/>
    </row>
    <row r="393" spans="5:9">
      <c r="E393" s="32"/>
      <c r="F393" s="32"/>
      <c r="G393" s="32"/>
      <c r="I393" s="32"/>
    </row>
    <row r="394" spans="5:9">
      <c r="E394" s="32"/>
      <c r="F394" s="32"/>
      <c r="G394" s="32"/>
      <c r="I394" s="32"/>
    </row>
    <row r="395" spans="5:9">
      <c r="E395" s="32"/>
      <c r="F395" s="32"/>
      <c r="G395" s="32"/>
      <c r="I395" s="32"/>
    </row>
    <row r="396" spans="5:9">
      <c r="E396" s="32"/>
      <c r="F396" s="32"/>
      <c r="G396" s="32"/>
      <c r="I396" s="32"/>
    </row>
    <row r="397" spans="5:9">
      <c r="E397" s="32"/>
      <c r="F397" s="32"/>
      <c r="G397" s="32"/>
      <c r="I397" s="32"/>
    </row>
    <row r="398" spans="5:9">
      <c r="E398" s="32"/>
      <c r="F398" s="32"/>
      <c r="G398" s="32"/>
      <c r="I398" s="32"/>
    </row>
    <row r="399" spans="5:9">
      <c r="E399" s="32"/>
      <c r="F399" s="32"/>
      <c r="G399" s="32"/>
      <c r="I399" s="32"/>
    </row>
    <row r="400" spans="5:9">
      <c r="E400" s="32"/>
      <c r="F400" s="32"/>
      <c r="G400" s="32"/>
      <c r="I400" s="32"/>
    </row>
    <row r="401" spans="5:9">
      <c r="E401" s="32"/>
      <c r="F401" s="32"/>
      <c r="G401" s="32"/>
      <c r="I401" s="32"/>
    </row>
    <row r="402" spans="5:9">
      <c r="E402" s="32"/>
      <c r="F402" s="32"/>
      <c r="G402" s="32"/>
      <c r="I402" s="32"/>
    </row>
    <row r="403" spans="5:9">
      <c r="E403" s="32"/>
      <c r="F403" s="32"/>
      <c r="G403" s="32"/>
      <c r="I403" s="32"/>
    </row>
    <row r="404" spans="5:9">
      <c r="E404" s="32"/>
      <c r="F404" s="32"/>
      <c r="G404" s="32"/>
      <c r="I404" s="32"/>
    </row>
    <row r="405" spans="5:9">
      <c r="E405" s="32"/>
      <c r="F405" s="32"/>
      <c r="G405" s="32"/>
      <c r="I405" s="32"/>
    </row>
    <row r="406" spans="5:9">
      <c r="E406" s="32"/>
      <c r="F406" s="32"/>
      <c r="G406" s="32"/>
      <c r="I406" s="32"/>
    </row>
    <row r="407" spans="5:9">
      <c r="E407" s="32"/>
      <c r="F407" s="32"/>
      <c r="G407" s="32"/>
      <c r="I407" s="32"/>
    </row>
    <row r="408" spans="5:9">
      <c r="E408" s="32"/>
      <c r="F408" s="32"/>
      <c r="G408" s="32"/>
      <c r="I408" s="32"/>
    </row>
    <row r="409" spans="5:9">
      <c r="E409" s="32"/>
      <c r="F409" s="32"/>
      <c r="G409" s="32"/>
      <c r="I409" s="32"/>
    </row>
    <row r="410" spans="5:9">
      <c r="E410" s="32"/>
      <c r="F410" s="32"/>
      <c r="G410" s="32"/>
      <c r="I410" s="32"/>
    </row>
    <row r="411" spans="5:9">
      <c r="E411" s="32"/>
      <c r="F411" s="32"/>
      <c r="G411" s="32"/>
      <c r="I411" s="32"/>
    </row>
    <row r="412" spans="5:9">
      <c r="E412" s="32"/>
      <c r="F412" s="32"/>
      <c r="G412" s="32"/>
      <c r="I412" s="32"/>
    </row>
    <row r="413" spans="5:9">
      <c r="E413" s="32"/>
      <c r="F413" s="32"/>
      <c r="G413" s="32"/>
      <c r="I413" s="32"/>
    </row>
    <row r="414" spans="5:9">
      <c r="E414" s="32"/>
      <c r="F414" s="32"/>
      <c r="G414" s="32"/>
      <c r="I414" s="32"/>
    </row>
    <row r="415" spans="5:9">
      <c r="E415" s="32"/>
      <c r="F415" s="32"/>
      <c r="G415" s="32"/>
      <c r="I415" s="32"/>
    </row>
    <row r="416" spans="5:9">
      <c r="E416" s="32"/>
      <c r="F416" s="32"/>
      <c r="G416" s="32"/>
      <c r="I416" s="32"/>
    </row>
    <row r="417" spans="5:9">
      <c r="E417" s="32"/>
      <c r="F417" s="32"/>
      <c r="G417" s="32"/>
      <c r="I417" s="32"/>
    </row>
    <row r="418" spans="5:9">
      <c r="E418" s="32"/>
      <c r="F418" s="32"/>
      <c r="G418" s="32"/>
      <c r="I418" s="32"/>
    </row>
    <row r="419" spans="5:9">
      <c r="E419" s="32"/>
      <c r="F419" s="32"/>
      <c r="G419" s="32"/>
      <c r="I419" s="32"/>
    </row>
    <row r="420" spans="5:9">
      <c r="E420" s="32"/>
      <c r="F420" s="32"/>
      <c r="G420" s="32"/>
      <c r="I420" s="32"/>
    </row>
    <row r="421" spans="5:9">
      <c r="E421" s="32"/>
      <c r="F421" s="32"/>
      <c r="G421" s="32"/>
      <c r="I421" s="32"/>
    </row>
    <row r="422" spans="5:9">
      <c r="E422" s="32"/>
      <c r="F422" s="32"/>
      <c r="G422" s="32"/>
      <c r="I422" s="32"/>
    </row>
    <row r="423" spans="5:9">
      <c r="E423" s="32"/>
      <c r="F423" s="32"/>
      <c r="G423" s="32"/>
      <c r="I423" s="32"/>
    </row>
    <row r="424" spans="5:9">
      <c r="E424" s="32"/>
      <c r="F424" s="32"/>
      <c r="G424" s="32"/>
      <c r="I424" s="32"/>
    </row>
    <row r="425" spans="5:9">
      <c r="E425" s="32"/>
      <c r="F425" s="32"/>
      <c r="G425" s="32"/>
      <c r="I425" s="32"/>
    </row>
    <row r="426" spans="5:9">
      <c r="E426" s="32"/>
      <c r="F426" s="32"/>
      <c r="G426" s="32"/>
      <c r="I426" s="32"/>
    </row>
    <row r="427" spans="5:9">
      <c r="E427" s="32"/>
      <c r="F427" s="32"/>
      <c r="G427" s="32"/>
      <c r="I427" s="32"/>
    </row>
    <row r="428" spans="5:9">
      <c r="E428" s="32"/>
      <c r="F428" s="32"/>
      <c r="G428" s="32"/>
      <c r="I428" s="32"/>
    </row>
    <row r="429" spans="5:9">
      <c r="E429" s="32"/>
      <c r="F429" s="32"/>
      <c r="G429" s="32"/>
      <c r="I429" s="32"/>
    </row>
    <row r="430" spans="5:9">
      <c r="E430" s="32"/>
      <c r="F430" s="32"/>
      <c r="G430" s="32"/>
      <c r="I430" s="32"/>
    </row>
    <row r="431" spans="5:9">
      <c r="E431" s="32"/>
      <c r="F431" s="32"/>
      <c r="G431" s="32"/>
      <c r="I431" s="32"/>
    </row>
    <row r="432" spans="5:9">
      <c r="E432" s="32"/>
      <c r="F432" s="32"/>
      <c r="G432" s="32"/>
      <c r="I432" s="32"/>
    </row>
    <row r="433" spans="5:9">
      <c r="E433" s="32"/>
      <c r="F433" s="32"/>
      <c r="G433" s="32"/>
      <c r="I433" s="32"/>
    </row>
    <row r="434" spans="5:9">
      <c r="E434" s="32"/>
      <c r="F434" s="32"/>
      <c r="G434" s="32"/>
      <c r="I434" s="32"/>
    </row>
    <row r="435" spans="5:9">
      <c r="E435" s="32"/>
      <c r="F435" s="32"/>
      <c r="G435" s="32"/>
      <c r="I435" s="32"/>
    </row>
    <row r="436" spans="5:9">
      <c r="E436" s="32"/>
      <c r="F436" s="32"/>
      <c r="G436" s="32"/>
      <c r="I436" s="32"/>
    </row>
    <row r="437" spans="5:9">
      <c r="E437" s="32"/>
      <c r="F437" s="32"/>
      <c r="G437" s="32"/>
      <c r="I437" s="32"/>
    </row>
    <row r="438" spans="5:9">
      <c r="E438" s="32"/>
      <c r="F438" s="32"/>
      <c r="G438" s="32"/>
      <c r="I438" s="32"/>
    </row>
    <row r="439" spans="5:9">
      <c r="E439" s="32"/>
      <c r="F439" s="32"/>
      <c r="G439" s="32"/>
      <c r="I439" s="32"/>
    </row>
    <row r="440" spans="5:9">
      <c r="E440" s="32"/>
      <c r="F440" s="32"/>
      <c r="G440" s="32"/>
      <c r="I440" s="32"/>
    </row>
    <row r="441" spans="5:9">
      <c r="E441" s="32"/>
      <c r="F441" s="32"/>
      <c r="G441" s="32"/>
      <c r="I441" s="32"/>
    </row>
    <row r="442" spans="5:9">
      <c r="E442" s="32"/>
      <c r="F442" s="32"/>
      <c r="G442" s="32"/>
      <c r="I442" s="32"/>
    </row>
    <row r="443" spans="5:9">
      <c r="E443" s="32"/>
      <c r="F443" s="32"/>
      <c r="G443" s="32"/>
      <c r="I443" s="32"/>
    </row>
    <row r="444" spans="5:9">
      <c r="E444" s="32"/>
      <c r="F444" s="32"/>
      <c r="G444" s="32"/>
      <c r="I444" s="32"/>
    </row>
    <row r="445" spans="5:9">
      <c r="E445" s="32"/>
      <c r="F445" s="32"/>
      <c r="G445" s="32"/>
      <c r="I445" s="32"/>
    </row>
    <row r="446" spans="5:9">
      <c r="E446" s="32"/>
      <c r="F446" s="32"/>
      <c r="G446" s="32"/>
      <c r="I446" s="32"/>
    </row>
    <row r="447" spans="5:9">
      <c r="E447" s="32"/>
      <c r="F447" s="32"/>
      <c r="G447" s="32"/>
      <c r="I447" s="32"/>
    </row>
    <row r="448" spans="5:9">
      <c r="E448" s="32"/>
      <c r="F448" s="32"/>
      <c r="G448" s="32"/>
      <c r="I448" s="32"/>
    </row>
    <row r="449" spans="5:9">
      <c r="E449" s="32"/>
      <c r="F449" s="32"/>
      <c r="G449" s="32"/>
      <c r="I449" s="32"/>
    </row>
    <row r="450" spans="5:9">
      <c r="E450" s="32"/>
      <c r="F450" s="32"/>
      <c r="G450" s="32"/>
      <c r="I450" s="32"/>
    </row>
    <row r="451" spans="5:9">
      <c r="E451" s="32"/>
      <c r="F451" s="32"/>
      <c r="G451" s="32"/>
      <c r="I451" s="32"/>
    </row>
    <row r="452" spans="5:9">
      <c r="E452" s="32"/>
      <c r="F452" s="32"/>
      <c r="G452" s="32"/>
      <c r="I452" s="32"/>
    </row>
    <row r="453" spans="5:9">
      <c r="E453" s="32"/>
      <c r="F453" s="32"/>
      <c r="G453" s="32"/>
      <c r="I453" s="32"/>
    </row>
    <row r="454" spans="5:9">
      <c r="E454" s="32"/>
      <c r="F454" s="32"/>
      <c r="G454" s="32"/>
      <c r="I454" s="32"/>
    </row>
    <row r="455" spans="5:9">
      <c r="E455" s="32"/>
      <c r="F455" s="32"/>
      <c r="G455" s="32"/>
      <c r="I455" s="32"/>
    </row>
    <row r="456" spans="5:9">
      <c r="E456" s="32"/>
      <c r="F456" s="32"/>
      <c r="G456" s="32"/>
      <c r="I456" s="32"/>
    </row>
    <row r="457" spans="5:9">
      <c r="E457" s="32"/>
      <c r="F457" s="32"/>
      <c r="G457" s="32"/>
      <c r="I457" s="32"/>
    </row>
    <row r="458" spans="5:9">
      <c r="E458" s="32"/>
      <c r="F458" s="32"/>
      <c r="G458" s="32"/>
      <c r="I458" s="32"/>
    </row>
    <row r="459" spans="5:9">
      <c r="E459" s="32"/>
      <c r="F459" s="32"/>
      <c r="G459" s="32"/>
      <c r="I459" s="32"/>
    </row>
    <row r="460" spans="5:9">
      <c r="E460" s="32"/>
      <c r="F460" s="32"/>
      <c r="G460" s="32"/>
      <c r="I460" s="32"/>
    </row>
    <row r="461" spans="5:9">
      <c r="E461" s="32"/>
      <c r="F461" s="32"/>
      <c r="G461" s="32"/>
      <c r="I461" s="32"/>
    </row>
    <row r="462" spans="5:9">
      <c r="E462" s="32"/>
      <c r="F462" s="32"/>
      <c r="G462" s="32"/>
      <c r="I462" s="32"/>
    </row>
    <row r="463" spans="5:9">
      <c r="E463" s="32"/>
      <c r="F463" s="32"/>
      <c r="G463" s="32"/>
      <c r="I463" s="32"/>
    </row>
    <row r="464" spans="5:9">
      <c r="E464" s="32"/>
      <c r="F464" s="32"/>
      <c r="G464" s="32"/>
      <c r="I464" s="32"/>
    </row>
    <row r="465" spans="5:9">
      <c r="E465" s="32"/>
      <c r="F465" s="32"/>
      <c r="G465" s="32"/>
      <c r="I465" s="32"/>
    </row>
    <row r="466" spans="5:9">
      <c r="E466" s="32"/>
      <c r="F466" s="32"/>
      <c r="G466" s="32"/>
      <c r="I466" s="32"/>
    </row>
    <row r="467" spans="5:9">
      <c r="E467" s="32"/>
      <c r="F467" s="32"/>
      <c r="G467" s="32"/>
      <c r="I467" s="32"/>
    </row>
    <row r="468" spans="5:9">
      <c r="E468" s="32"/>
      <c r="F468" s="32"/>
      <c r="G468" s="32"/>
      <c r="I468" s="32"/>
    </row>
    <row r="469" spans="5:9">
      <c r="E469" s="32"/>
      <c r="F469" s="32"/>
      <c r="G469" s="32"/>
      <c r="I469" s="32"/>
    </row>
    <row r="470" spans="5:9">
      <c r="E470" s="32"/>
      <c r="F470" s="32"/>
      <c r="G470" s="32"/>
      <c r="I470" s="32"/>
    </row>
    <row r="471" spans="5:9">
      <c r="E471" s="32"/>
      <c r="F471" s="32"/>
      <c r="G471" s="32"/>
      <c r="I471" s="32"/>
    </row>
    <row r="472" spans="5:9">
      <c r="E472" s="32"/>
      <c r="F472" s="32"/>
      <c r="G472" s="32"/>
      <c r="I472" s="32"/>
    </row>
    <row r="473" spans="5:9">
      <c r="E473" s="32"/>
      <c r="F473" s="32"/>
      <c r="G473" s="32"/>
      <c r="I473" s="32"/>
    </row>
    <row r="474" spans="5:9">
      <c r="E474" s="32"/>
      <c r="F474" s="32"/>
      <c r="G474" s="32"/>
      <c r="I474" s="32"/>
    </row>
    <row r="475" spans="5:9">
      <c r="E475" s="32"/>
      <c r="F475" s="32"/>
      <c r="G475" s="32"/>
      <c r="I475" s="32"/>
    </row>
    <row r="476" spans="5:9">
      <c r="E476" s="32"/>
      <c r="F476" s="32"/>
      <c r="G476" s="32"/>
      <c r="I476" s="32"/>
    </row>
    <row r="477" spans="5:9">
      <c r="E477" s="32"/>
      <c r="F477" s="32"/>
      <c r="G477" s="32"/>
      <c r="I477" s="32"/>
    </row>
    <row r="478" spans="5:9">
      <c r="E478" s="32"/>
      <c r="F478" s="32"/>
      <c r="G478" s="32"/>
      <c r="I478" s="32"/>
    </row>
    <row r="479" spans="5:9">
      <c r="E479" s="32"/>
      <c r="F479" s="32"/>
      <c r="G479" s="32"/>
      <c r="I479" s="32"/>
    </row>
    <row r="480" spans="5:9">
      <c r="E480" s="32"/>
      <c r="F480" s="32"/>
      <c r="G480" s="32"/>
      <c r="I480" s="32"/>
    </row>
    <row r="481" spans="5:9">
      <c r="E481" s="32"/>
      <c r="F481" s="32"/>
      <c r="G481" s="32"/>
      <c r="I481" s="32"/>
    </row>
    <row r="482" spans="5:9">
      <c r="E482" s="32"/>
      <c r="F482" s="32"/>
      <c r="G482" s="32"/>
      <c r="I482" s="32"/>
    </row>
    <row r="483" spans="5:9">
      <c r="E483" s="32"/>
      <c r="F483" s="32"/>
      <c r="G483" s="32"/>
      <c r="I483" s="32"/>
    </row>
    <row r="484" spans="5:9">
      <c r="E484" s="32"/>
      <c r="F484" s="32"/>
      <c r="G484" s="32"/>
      <c r="I484" s="32"/>
    </row>
    <row r="485" spans="5:9">
      <c r="E485" s="32"/>
      <c r="F485" s="32"/>
      <c r="G485" s="32"/>
      <c r="I485" s="32"/>
    </row>
    <row r="486" spans="5:9">
      <c r="E486" s="32"/>
      <c r="F486" s="32"/>
      <c r="G486" s="32"/>
      <c r="I486" s="32"/>
    </row>
    <row r="487" spans="5:9">
      <c r="E487" s="32"/>
      <c r="F487" s="32"/>
      <c r="G487" s="32"/>
      <c r="I487" s="32"/>
    </row>
    <row r="488" spans="5:9">
      <c r="E488" s="32"/>
      <c r="F488" s="32"/>
      <c r="G488" s="32"/>
      <c r="I488" s="32"/>
    </row>
    <row r="489" spans="5:9">
      <c r="E489" s="32"/>
      <c r="F489" s="32"/>
      <c r="G489" s="32"/>
      <c r="I489" s="32"/>
    </row>
    <row r="490" spans="5:9">
      <c r="E490" s="32"/>
      <c r="F490" s="32"/>
      <c r="G490" s="32"/>
      <c r="I490" s="32"/>
    </row>
    <row r="491" spans="5:9">
      <c r="E491" s="32"/>
      <c r="F491" s="32"/>
      <c r="G491" s="32"/>
      <c r="I491" s="32"/>
    </row>
    <row r="492" spans="5:9">
      <c r="E492" s="32"/>
      <c r="F492" s="32"/>
      <c r="G492" s="32"/>
      <c r="I492" s="32"/>
    </row>
    <row r="493" spans="5:9">
      <c r="E493" s="32"/>
      <c r="F493" s="32"/>
      <c r="G493" s="32"/>
      <c r="I493" s="32"/>
    </row>
    <row r="494" spans="5:9">
      <c r="E494" s="32"/>
      <c r="F494" s="32"/>
      <c r="G494" s="32"/>
      <c r="I494" s="32"/>
    </row>
    <row r="495" spans="5:9">
      <c r="E495" s="32"/>
      <c r="F495" s="32"/>
      <c r="G495" s="32"/>
      <c r="I495" s="32"/>
    </row>
    <row r="496" spans="5:9">
      <c r="E496" s="32"/>
      <c r="F496" s="32"/>
      <c r="G496" s="32"/>
      <c r="I496" s="32"/>
    </row>
    <row r="497" spans="5:9">
      <c r="E497" s="32"/>
      <c r="F497" s="32"/>
      <c r="G497" s="32"/>
      <c r="I497" s="32"/>
    </row>
    <row r="498" spans="5:9">
      <c r="E498" s="32"/>
      <c r="F498" s="32"/>
      <c r="G498" s="32"/>
      <c r="I498" s="32"/>
    </row>
    <row r="499" spans="5:9">
      <c r="E499" s="32"/>
      <c r="F499" s="32"/>
      <c r="G499" s="32"/>
      <c r="I499" s="32"/>
    </row>
    <row r="500" spans="5:9">
      <c r="E500" s="32"/>
      <c r="F500" s="32"/>
      <c r="G500" s="32"/>
      <c r="I500" s="32"/>
    </row>
    <row r="501" spans="5:9">
      <c r="E501" s="32"/>
      <c r="F501" s="32"/>
      <c r="G501" s="32"/>
      <c r="I501" s="32"/>
    </row>
    <row r="502" spans="5:9">
      <c r="E502" s="32"/>
      <c r="F502" s="32"/>
      <c r="G502" s="32"/>
      <c r="I502" s="32"/>
    </row>
    <row r="503" spans="5:9">
      <c r="E503" s="32"/>
      <c r="F503" s="32"/>
      <c r="G503" s="32"/>
      <c r="I503" s="32"/>
    </row>
    <row r="504" spans="5:9">
      <c r="E504" s="32"/>
      <c r="F504" s="32"/>
      <c r="G504" s="32"/>
      <c r="I504" s="32"/>
    </row>
    <row r="505" spans="5:9">
      <c r="E505" s="32"/>
      <c r="F505" s="32"/>
      <c r="G505" s="32"/>
      <c r="I505" s="32"/>
    </row>
    <row r="506" spans="5:9">
      <c r="E506" s="32"/>
      <c r="F506" s="32"/>
      <c r="G506" s="32"/>
      <c r="I506" s="32"/>
    </row>
    <row r="507" spans="5:9">
      <c r="E507" s="32"/>
      <c r="F507" s="32"/>
      <c r="G507" s="32"/>
      <c r="I507" s="32"/>
    </row>
    <row r="508" spans="5:9">
      <c r="E508" s="32"/>
      <c r="F508" s="32"/>
      <c r="G508" s="32"/>
      <c r="I508" s="32"/>
    </row>
    <row r="509" spans="5:9">
      <c r="E509" s="32"/>
      <c r="F509" s="32"/>
      <c r="G509" s="32"/>
      <c r="I509" s="32"/>
    </row>
    <row r="510" spans="5:9">
      <c r="E510" s="32"/>
      <c r="F510" s="32"/>
      <c r="G510" s="32"/>
      <c r="I510" s="32"/>
    </row>
    <row r="511" spans="5:9">
      <c r="E511" s="32"/>
      <c r="F511" s="32"/>
      <c r="G511" s="32"/>
      <c r="I511" s="32"/>
    </row>
    <row r="512" spans="5:9">
      <c r="E512" s="32"/>
      <c r="F512" s="32"/>
      <c r="G512" s="32"/>
      <c r="I512" s="32"/>
    </row>
    <row r="513" spans="5:9">
      <c r="E513" s="32"/>
      <c r="F513" s="32"/>
      <c r="G513" s="32"/>
      <c r="I513" s="32"/>
    </row>
    <row r="514" spans="5:9">
      <c r="E514" s="32"/>
      <c r="F514" s="32"/>
      <c r="G514" s="32"/>
      <c r="I514" s="32"/>
    </row>
    <row r="515" spans="5:9">
      <c r="E515" s="32"/>
      <c r="F515" s="32"/>
      <c r="G515" s="32"/>
      <c r="I515" s="32"/>
    </row>
    <row r="516" spans="5:9">
      <c r="E516" s="32"/>
      <c r="F516" s="32"/>
      <c r="G516" s="32"/>
      <c r="I516" s="32"/>
    </row>
    <row r="517" spans="5:9">
      <c r="E517" s="32"/>
      <c r="F517" s="32"/>
      <c r="G517" s="32"/>
      <c r="I517" s="32"/>
    </row>
    <row r="518" spans="5:9">
      <c r="E518" s="32"/>
      <c r="F518" s="32"/>
      <c r="G518" s="32"/>
      <c r="I518" s="32"/>
    </row>
    <row r="519" spans="5:9">
      <c r="E519" s="32"/>
      <c r="F519" s="32"/>
      <c r="G519" s="32"/>
      <c r="I519" s="32"/>
    </row>
    <row r="520" spans="5:9">
      <c r="E520" s="32"/>
      <c r="F520" s="32"/>
      <c r="G520" s="32"/>
      <c r="I520" s="32"/>
    </row>
    <row r="521" spans="5:9">
      <c r="E521" s="32"/>
      <c r="F521" s="32"/>
      <c r="G521" s="32"/>
      <c r="I521" s="32"/>
    </row>
    <row r="522" spans="5:9">
      <c r="E522" s="32"/>
      <c r="F522" s="32"/>
      <c r="G522" s="32"/>
      <c r="I522" s="32"/>
    </row>
    <row r="523" spans="5:9">
      <c r="E523" s="32"/>
      <c r="F523" s="32"/>
      <c r="G523" s="32"/>
      <c r="I523" s="32"/>
    </row>
    <row r="524" spans="5:9">
      <c r="E524" s="32"/>
      <c r="F524" s="32"/>
      <c r="G524" s="32"/>
      <c r="I524" s="32"/>
    </row>
    <row r="525" spans="5:9">
      <c r="E525" s="32"/>
      <c r="F525" s="32"/>
      <c r="G525" s="32"/>
      <c r="I525" s="32"/>
    </row>
    <row r="526" spans="5:9">
      <c r="E526" s="32"/>
      <c r="F526" s="32"/>
      <c r="G526" s="32"/>
      <c r="I526" s="32"/>
    </row>
    <row r="527" spans="5:9">
      <c r="E527" s="32"/>
      <c r="F527" s="32"/>
      <c r="G527" s="32"/>
      <c r="I527" s="32"/>
    </row>
    <row r="528" spans="5:9">
      <c r="E528" s="32"/>
      <c r="F528" s="32"/>
      <c r="G528" s="32"/>
      <c r="I528" s="32"/>
    </row>
    <row r="529" spans="5:9">
      <c r="E529" s="32"/>
      <c r="F529" s="32"/>
      <c r="G529" s="32"/>
      <c r="I529" s="32"/>
    </row>
    <row r="530" spans="5:9">
      <c r="E530" s="32"/>
      <c r="F530" s="32"/>
      <c r="G530" s="32"/>
      <c r="I530" s="32"/>
    </row>
    <row r="531" spans="5:9">
      <c r="E531" s="32"/>
      <c r="F531" s="32"/>
      <c r="G531" s="32"/>
      <c r="I531" s="32"/>
    </row>
    <row r="532" spans="5:9">
      <c r="E532" s="32"/>
      <c r="F532" s="32"/>
      <c r="G532" s="32"/>
      <c r="I532" s="32"/>
    </row>
    <row r="533" spans="5:9">
      <c r="E533" s="32"/>
      <c r="F533" s="32"/>
      <c r="G533" s="32"/>
      <c r="I533" s="32"/>
    </row>
    <row r="534" spans="5:9">
      <c r="E534" s="32"/>
      <c r="F534" s="32"/>
      <c r="G534" s="32"/>
      <c r="I534" s="32"/>
    </row>
    <row r="535" spans="5:9">
      <c r="E535" s="32"/>
      <c r="F535" s="32"/>
      <c r="G535" s="32"/>
      <c r="I535" s="32"/>
    </row>
    <row r="536" spans="5:9">
      <c r="E536" s="32"/>
      <c r="F536" s="32"/>
      <c r="G536" s="32"/>
      <c r="I536" s="32"/>
    </row>
    <row r="537" spans="5:9">
      <c r="E537" s="32"/>
      <c r="F537" s="32"/>
      <c r="G537" s="32"/>
      <c r="I537" s="32"/>
    </row>
    <row r="538" spans="5:9">
      <c r="E538" s="32"/>
      <c r="F538" s="32"/>
      <c r="G538" s="32"/>
      <c r="I538" s="32"/>
    </row>
    <row r="539" spans="5:9">
      <c r="E539" s="32"/>
      <c r="F539" s="32"/>
      <c r="G539" s="32"/>
      <c r="I539" s="32"/>
    </row>
    <row r="540" spans="5:9">
      <c r="E540" s="32"/>
      <c r="F540" s="32"/>
      <c r="G540" s="32"/>
      <c r="I540" s="32"/>
    </row>
    <row r="541" spans="5:9">
      <c r="E541" s="32"/>
      <c r="F541" s="32"/>
      <c r="G541" s="32"/>
      <c r="I541" s="32"/>
    </row>
    <row r="542" spans="5:9">
      <c r="E542" s="32"/>
      <c r="F542" s="32"/>
      <c r="G542" s="32"/>
      <c r="I542" s="32"/>
    </row>
    <row r="543" spans="5:9">
      <c r="E543" s="32"/>
      <c r="F543" s="32"/>
      <c r="G543" s="32"/>
      <c r="I543" s="32"/>
    </row>
    <row r="544" spans="5:9">
      <c r="E544" s="32"/>
      <c r="F544" s="32"/>
      <c r="G544" s="32"/>
      <c r="I544" s="32"/>
    </row>
    <row r="545" spans="5:9">
      <c r="E545" s="32"/>
      <c r="F545" s="32"/>
      <c r="G545" s="32"/>
      <c r="I545" s="32"/>
    </row>
    <row r="546" spans="5:9">
      <c r="E546" s="32"/>
      <c r="F546" s="32"/>
      <c r="G546" s="32"/>
      <c r="I546" s="32"/>
    </row>
    <row r="547" spans="5:9">
      <c r="E547" s="32"/>
      <c r="F547" s="32"/>
      <c r="G547" s="32"/>
      <c r="I547" s="32"/>
    </row>
    <row r="548" spans="5:9">
      <c r="E548" s="32"/>
      <c r="F548" s="32"/>
      <c r="G548" s="32"/>
      <c r="I548" s="32"/>
    </row>
    <row r="549" spans="5:9">
      <c r="E549" s="32"/>
      <c r="F549" s="32"/>
      <c r="G549" s="32"/>
      <c r="I549" s="32"/>
    </row>
    <row r="550" spans="5:9">
      <c r="E550" s="32"/>
      <c r="F550" s="32"/>
      <c r="G550" s="32"/>
      <c r="I550" s="32"/>
    </row>
    <row r="551" spans="5:9">
      <c r="E551" s="32"/>
      <c r="F551" s="32"/>
      <c r="G551" s="32"/>
      <c r="I551" s="32"/>
    </row>
    <row r="552" spans="5:9">
      <c r="E552" s="32"/>
      <c r="F552" s="32"/>
      <c r="G552" s="32"/>
      <c r="I552" s="32"/>
    </row>
    <row r="553" spans="5:9">
      <c r="E553" s="32"/>
      <c r="F553" s="32"/>
      <c r="G553" s="32"/>
      <c r="I553" s="32"/>
    </row>
    <row r="554" spans="5:9">
      <c r="E554" s="32"/>
      <c r="F554" s="32"/>
      <c r="G554" s="32"/>
      <c r="I554" s="32"/>
    </row>
    <row r="555" spans="5:9">
      <c r="E555" s="32"/>
      <c r="F555" s="32"/>
      <c r="G555" s="32"/>
      <c r="I555" s="32"/>
    </row>
    <row r="556" spans="5:9">
      <c r="E556" s="32"/>
      <c r="F556" s="32"/>
      <c r="G556" s="32"/>
      <c r="I556" s="32"/>
    </row>
    <row r="557" spans="5:9">
      <c r="E557" s="32"/>
      <c r="F557" s="32"/>
      <c r="G557" s="32"/>
      <c r="I557" s="32"/>
    </row>
    <row r="558" spans="5:9">
      <c r="E558" s="32"/>
      <c r="F558" s="32"/>
      <c r="G558" s="32"/>
      <c r="I558" s="32"/>
    </row>
    <row r="559" spans="5:9">
      <c r="E559" s="32"/>
      <c r="F559" s="32"/>
      <c r="G559" s="32"/>
      <c r="I559" s="32"/>
    </row>
    <row r="560" spans="5:9">
      <c r="E560" s="32"/>
      <c r="F560" s="32"/>
      <c r="G560" s="32"/>
      <c r="I560" s="32"/>
    </row>
    <row r="561" spans="5:9">
      <c r="E561" s="32"/>
      <c r="F561" s="32"/>
      <c r="G561" s="32"/>
      <c r="I561" s="32"/>
    </row>
    <row r="562" spans="5:9">
      <c r="E562" s="32"/>
      <c r="F562" s="32"/>
      <c r="G562" s="32"/>
      <c r="I562" s="32"/>
    </row>
    <row r="563" spans="5:9">
      <c r="E563" s="32"/>
      <c r="F563" s="32"/>
      <c r="G563" s="32"/>
      <c r="I563" s="32"/>
    </row>
    <row r="564" spans="5:9">
      <c r="E564" s="32"/>
      <c r="F564" s="32"/>
      <c r="G564" s="32"/>
      <c r="I564" s="32"/>
    </row>
    <row r="565" spans="5:9">
      <c r="E565" s="32"/>
      <c r="F565" s="32"/>
      <c r="G565" s="32"/>
      <c r="I565" s="32"/>
    </row>
    <row r="566" spans="5:9">
      <c r="E566" s="32"/>
      <c r="F566" s="32"/>
      <c r="G566" s="32"/>
      <c r="I566" s="32"/>
    </row>
    <row r="567" spans="5:9">
      <c r="E567" s="32"/>
      <c r="F567" s="32"/>
      <c r="G567" s="32"/>
      <c r="I567" s="32"/>
    </row>
    <row r="568" spans="5:9">
      <c r="E568" s="32"/>
      <c r="F568" s="32"/>
      <c r="G568" s="32"/>
      <c r="I568" s="32"/>
    </row>
    <row r="569" spans="5:9">
      <c r="E569" s="32"/>
      <c r="F569" s="32"/>
      <c r="G569" s="32"/>
      <c r="I569" s="32"/>
    </row>
    <row r="570" spans="5:9">
      <c r="E570" s="32"/>
      <c r="F570" s="32"/>
      <c r="G570" s="32"/>
      <c r="I570" s="32"/>
    </row>
    <row r="571" spans="5:9">
      <c r="E571" s="32"/>
      <c r="F571" s="32"/>
      <c r="G571" s="32"/>
      <c r="I571" s="32"/>
    </row>
    <row r="572" spans="5:9">
      <c r="E572" s="32"/>
      <c r="F572" s="32"/>
      <c r="G572" s="32"/>
      <c r="I572" s="32"/>
    </row>
    <row r="573" spans="5:9">
      <c r="E573" s="32"/>
      <c r="F573" s="32"/>
      <c r="G573" s="32"/>
      <c r="I573" s="32"/>
    </row>
    <row r="574" spans="5:9">
      <c r="E574" s="32"/>
      <c r="F574" s="32"/>
      <c r="G574" s="32"/>
      <c r="I574" s="32"/>
    </row>
    <row r="575" spans="5:9">
      <c r="E575" s="32"/>
      <c r="F575" s="32"/>
      <c r="G575" s="32"/>
      <c r="I575" s="32"/>
    </row>
    <row r="576" spans="5:9">
      <c r="E576" s="32"/>
      <c r="F576" s="32"/>
      <c r="G576" s="32"/>
      <c r="I576" s="32"/>
    </row>
    <row r="577" spans="5:9">
      <c r="E577" s="32"/>
      <c r="F577" s="32"/>
      <c r="G577" s="32"/>
      <c r="I577" s="32"/>
    </row>
    <row r="578" spans="5:9">
      <c r="E578" s="32"/>
      <c r="F578" s="32"/>
      <c r="G578" s="32"/>
      <c r="I578" s="32"/>
    </row>
    <row r="579" spans="5:9">
      <c r="E579" s="32"/>
      <c r="F579" s="32"/>
      <c r="G579" s="32"/>
      <c r="I579" s="32"/>
    </row>
    <row r="580" spans="5:9">
      <c r="E580" s="32"/>
      <c r="F580" s="32"/>
      <c r="G580" s="32"/>
      <c r="I580" s="32"/>
    </row>
    <row r="581" spans="5:9">
      <c r="E581" s="32"/>
      <c r="F581" s="32"/>
      <c r="G581" s="32"/>
      <c r="I581" s="32"/>
    </row>
    <row r="582" spans="5:9">
      <c r="E582" s="32"/>
      <c r="F582" s="32"/>
      <c r="G582" s="32"/>
      <c r="I582" s="32"/>
    </row>
    <row r="583" spans="5:9">
      <c r="E583" s="32"/>
      <c r="F583" s="32"/>
      <c r="G583" s="32"/>
      <c r="I583" s="32"/>
    </row>
    <row r="584" spans="5:9">
      <c r="E584" s="32"/>
      <c r="F584" s="32"/>
      <c r="G584" s="32"/>
      <c r="I584" s="32"/>
    </row>
    <row r="585" spans="5:9">
      <c r="E585" s="32"/>
      <c r="F585" s="32"/>
      <c r="G585" s="32"/>
      <c r="I585" s="32"/>
    </row>
    <row r="586" spans="5:9">
      <c r="E586" s="32"/>
      <c r="F586" s="32"/>
      <c r="G586" s="32"/>
      <c r="I586" s="32"/>
    </row>
    <row r="587" spans="5:9">
      <c r="E587" s="32"/>
      <c r="F587" s="32"/>
      <c r="G587" s="32"/>
      <c r="I587" s="32"/>
    </row>
    <row r="588" spans="5:9">
      <c r="E588" s="32"/>
      <c r="F588" s="32"/>
      <c r="G588" s="32"/>
      <c r="I588" s="32"/>
    </row>
    <row r="589" spans="5:9">
      <c r="E589" s="32"/>
      <c r="F589" s="32"/>
      <c r="G589" s="32"/>
      <c r="I589" s="32"/>
    </row>
    <row r="590" spans="5:9">
      <c r="E590" s="32"/>
      <c r="F590" s="32"/>
      <c r="G590" s="32"/>
      <c r="I590" s="32"/>
    </row>
    <row r="591" spans="5:9">
      <c r="E591" s="32"/>
      <c r="F591" s="32"/>
      <c r="G591" s="32"/>
      <c r="I591" s="32"/>
    </row>
    <row r="592" spans="5:9">
      <c r="E592" s="32"/>
      <c r="F592" s="32"/>
      <c r="G592" s="32"/>
      <c r="I592" s="32"/>
    </row>
    <row r="593" spans="5:9">
      <c r="E593" s="32"/>
      <c r="F593" s="32"/>
      <c r="G593" s="32"/>
      <c r="I593" s="32"/>
    </row>
    <row r="594" spans="5:9">
      <c r="E594" s="32"/>
      <c r="F594" s="32"/>
      <c r="G594" s="32"/>
      <c r="I594" s="32"/>
    </row>
    <row r="595" spans="5:9">
      <c r="E595" s="32"/>
      <c r="F595" s="32"/>
      <c r="G595" s="32"/>
      <c r="I595" s="32"/>
    </row>
    <row r="596" spans="5:9">
      <c r="E596" s="32"/>
      <c r="F596" s="32"/>
      <c r="G596" s="32"/>
      <c r="I596" s="32"/>
    </row>
    <row r="597" spans="5:9">
      <c r="E597" s="32"/>
      <c r="F597" s="32"/>
      <c r="G597" s="32"/>
      <c r="I597" s="32"/>
    </row>
    <row r="598" spans="5:9">
      <c r="E598" s="32"/>
      <c r="F598" s="32"/>
      <c r="G598" s="32"/>
      <c r="I598" s="32"/>
    </row>
    <row r="599" spans="5:9">
      <c r="E599" s="32"/>
      <c r="F599" s="32"/>
      <c r="G599" s="32"/>
      <c r="I599" s="32"/>
    </row>
    <row r="600" spans="5:9">
      <c r="E600" s="32"/>
      <c r="F600" s="32"/>
      <c r="G600" s="32"/>
      <c r="I600" s="32"/>
    </row>
    <row r="601" spans="5:9">
      <c r="E601" s="32"/>
      <c r="F601" s="32"/>
      <c r="G601" s="32"/>
      <c r="I601" s="32"/>
    </row>
    <row r="602" spans="5:9">
      <c r="E602" s="32"/>
      <c r="F602" s="32"/>
      <c r="G602" s="32"/>
      <c r="I602" s="32"/>
    </row>
    <row r="603" spans="5:9">
      <c r="E603" s="32"/>
      <c r="F603" s="32"/>
      <c r="G603" s="32"/>
      <c r="I603" s="32"/>
    </row>
    <row r="604" spans="5:9">
      <c r="E604" s="32"/>
      <c r="F604" s="32"/>
      <c r="G604" s="32"/>
      <c r="I604" s="32"/>
    </row>
    <row r="605" spans="5:9">
      <c r="E605" s="32"/>
      <c r="F605" s="32"/>
      <c r="G605" s="32"/>
      <c r="I605" s="32"/>
    </row>
    <row r="606" spans="5:9">
      <c r="E606" s="32"/>
      <c r="F606" s="32"/>
      <c r="G606" s="32"/>
      <c r="I606" s="32"/>
    </row>
    <row r="607" spans="5:9">
      <c r="E607" s="32"/>
      <c r="F607" s="32"/>
      <c r="G607" s="32"/>
      <c r="I607" s="32"/>
    </row>
    <row r="608" spans="5:9">
      <c r="E608" s="32"/>
      <c r="F608" s="32"/>
      <c r="G608" s="32"/>
      <c r="I608" s="32"/>
    </row>
    <row r="609" spans="5:9">
      <c r="E609" s="32"/>
      <c r="F609" s="32"/>
      <c r="G609" s="32"/>
      <c r="I609" s="32"/>
    </row>
    <row r="610" spans="5:9">
      <c r="E610" s="32"/>
      <c r="F610" s="32"/>
      <c r="G610" s="32"/>
      <c r="I610" s="32"/>
    </row>
    <row r="611" spans="5:9">
      <c r="E611" s="32"/>
      <c r="F611" s="32"/>
      <c r="G611" s="32"/>
      <c r="I611" s="32"/>
    </row>
    <row r="612" spans="5:9">
      <c r="E612" s="32"/>
      <c r="F612" s="32"/>
      <c r="G612" s="32"/>
      <c r="I612" s="32"/>
    </row>
    <row r="613" spans="5:9">
      <c r="E613" s="32"/>
      <c r="F613" s="32"/>
      <c r="G613" s="32"/>
      <c r="I613" s="32"/>
    </row>
    <row r="614" spans="5:9">
      <c r="E614" s="32"/>
      <c r="F614" s="32"/>
      <c r="G614" s="32"/>
      <c r="I614" s="32"/>
    </row>
    <row r="615" spans="5:9">
      <c r="E615" s="32"/>
      <c r="F615" s="32"/>
      <c r="G615" s="32"/>
      <c r="I615" s="32"/>
    </row>
    <row r="616" spans="5:9">
      <c r="E616" s="32"/>
      <c r="F616" s="32"/>
      <c r="G616" s="32"/>
      <c r="I616" s="32"/>
    </row>
    <row r="617" spans="5:9">
      <c r="E617" s="32"/>
      <c r="F617" s="32"/>
      <c r="G617" s="32"/>
      <c r="I617" s="32"/>
    </row>
    <row r="618" spans="5:9">
      <c r="E618" s="32"/>
      <c r="F618" s="32"/>
      <c r="G618" s="32"/>
      <c r="I618" s="32"/>
    </row>
    <row r="619" spans="5:9">
      <c r="E619" s="32"/>
      <c r="F619" s="32"/>
      <c r="G619" s="32"/>
      <c r="I619" s="32"/>
    </row>
    <row r="620" spans="5:9">
      <c r="E620" s="32"/>
      <c r="F620" s="32"/>
      <c r="G620" s="32"/>
      <c r="I620" s="32"/>
    </row>
    <row r="621" spans="5:9">
      <c r="E621" s="32"/>
      <c r="F621" s="32"/>
      <c r="G621" s="32"/>
      <c r="I621" s="32"/>
    </row>
    <row r="622" spans="5:9">
      <c r="E622" s="32"/>
      <c r="F622" s="32"/>
      <c r="G622" s="32"/>
      <c r="I622" s="32"/>
    </row>
    <row r="623" spans="5:9">
      <c r="E623" s="32"/>
      <c r="F623" s="32"/>
      <c r="G623" s="32"/>
      <c r="I623" s="32"/>
    </row>
    <row r="624" spans="5:9">
      <c r="E624" s="32"/>
      <c r="F624" s="32"/>
      <c r="G624" s="32"/>
      <c r="I624" s="32"/>
    </row>
    <row r="625" spans="5:9">
      <c r="E625" s="32"/>
      <c r="F625" s="32"/>
      <c r="G625" s="32"/>
      <c r="I625" s="32"/>
    </row>
    <row r="626" spans="5:9">
      <c r="E626" s="32"/>
      <c r="F626" s="32"/>
      <c r="G626" s="32"/>
      <c r="I626" s="32"/>
    </row>
    <row r="627" spans="5:9">
      <c r="E627" s="32"/>
      <c r="F627" s="32"/>
      <c r="G627" s="32"/>
      <c r="I627" s="32"/>
    </row>
    <row r="628" spans="5:9">
      <c r="E628" s="32"/>
      <c r="F628" s="32"/>
      <c r="G628" s="32"/>
      <c r="I628" s="32"/>
    </row>
    <row r="629" spans="5:9">
      <c r="E629" s="32"/>
      <c r="F629" s="32"/>
      <c r="G629" s="32"/>
      <c r="I629" s="32"/>
    </row>
    <row r="630" spans="5:9">
      <c r="E630" s="32"/>
      <c r="F630" s="32"/>
      <c r="G630" s="32"/>
      <c r="I630" s="32"/>
    </row>
    <row r="631" spans="5:9">
      <c r="E631" s="32"/>
      <c r="F631" s="32"/>
      <c r="G631" s="32"/>
      <c r="I631" s="32"/>
    </row>
    <row r="632" spans="5:9">
      <c r="E632" s="32"/>
      <c r="F632" s="32"/>
      <c r="G632" s="32"/>
      <c r="I632" s="32"/>
    </row>
    <row r="633" spans="5:9">
      <c r="E633" s="32"/>
      <c r="F633" s="32"/>
      <c r="G633" s="32"/>
      <c r="I633" s="32"/>
    </row>
    <row r="634" spans="5:9">
      <c r="E634" s="32"/>
      <c r="F634" s="32"/>
      <c r="G634" s="32"/>
      <c r="I634" s="32"/>
    </row>
    <row r="635" spans="5:9">
      <c r="E635" s="32"/>
      <c r="F635" s="32"/>
      <c r="G635" s="32"/>
      <c r="I635" s="32"/>
    </row>
    <row r="636" spans="5:9">
      <c r="E636" s="32"/>
      <c r="F636" s="32"/>
      <c r="G636" s="32"/>
      <c r="I636" s="32"/>
    </row>
    <row r="637" spans="5:9">
      <c r="E637" s="32"/>
      <c r="F637" s="32"/>
      <c r="G637" s="32"/>
      <c r="I637" s="32"/>
    </row>
    <row r="638" spans="5:9">
      <c r="E638" s="32"/>
      <c r="F638" s="32"/>
      <c r="G638" s="32"/>
      <c r="I638" s="32"/>
    </row>
    <row r="639" spans="5:9">
      <c r="E639" s="32"/>
      <c r="F639" s="32"/>
      <c r="G639" s="32"/>
      <c r="I639" s="32"/>
    </row>
    <row r="640" spans="5:9">
      <c r="E640" s="32"/>
      <c r="F640" s="32"/>
      <c r="G640" s="32"/>
      <c r="I640" s="32"/>
    </row>
    <row r="641" spans="5:9">
      <c r="E641" s="32"/>
      <c r="F641" s="32"/>
      <c r="G641" s="32"/>
      <c r="I641" s="32"/>
    </row>
    <row r="642" spans="5:9">
      <c r="E642" s="32"/>
      <c r="F642" s="32"/>
      <c r="G642" s="32"/>
      <c r="I642" s="32"/>
    </row>
    <row r="643" spans="5:9">
      <c r="E643" s="32"/>
      <c r="F643" s="32"/>
      <c r="G643" s="32"/>
      <c r="I643" s="32"/>
    </row>
    <row r="644" spans="5:9">
      <c r="E644" s="32"/>
      <c r="F644" s="32"/>
      <c r="G644" s="32"/>
      <c r="I644" s="32"/>
    </row>
    <row r="645" spans="5:9">
      <c r="E645" s="32"/>
      <c r="F645" s="32"/>
      <c r="G645" s="32"/>
      <c r="I645" s="32"/>
    </row>
    <row r="646" spans="5:9">
      <c r="E646" s="32"/>
      <c r="F646" s="32"/>
      <c r="G646" s="32"/>
      <c r="I646" s="32"/>
    </row>
    <row r="647" spans="5:9">
      <c r="E647" s="32"/>
      <c r="F647" s="32"/>
      <c r="G647" s="32"/>
      <c r="I647" s="32"/>
    </row>
    <row r="648" spans="5:9">
      <c r="E648" s="32"/>
      <c r="F648" s="32"/>
      <c r="G648" s="32"/>
      <c r="I648" s="32"/>
    </row>
    <row r="649" spans="5:9">
      <c r="E649" s="32"/>
      <c r="F649" s="32"/>
      <c r="G649" s="32"/>
      <c r="I649" s="32"/>
    </row>
    <row r="650" spans="5:9">
      <c r="E650" s="32"/>
      <c r="F650" s="32"/>
      <c r="G650" s="32"/>
      <c r="I650" s="32"/>
    </row>
    <row r="651" spans="5:9">
      <c r="E651" s="32"/>
      <c r="F651" s="32"/>
      <c r="G651" s="32"/>
      <c r="I651" s="32"/>
    </row>
    <row r="652" spans="5:9">
      <c r="E652" s="32"/>
      <c r="F652" s="32"/>
      <c r="G652" s="32"/>
      <c r="I652" s="32"/>
    </row>
    <row r="653" spans="5:9">
      <c r="E653" s="32"/>
      <c r="F653" s="32"/>
      <c r="G653" s="32"/>
      <c r="I653" s="32"/>
    </row>
    <row r="654" spans="5:9">
      <c r="E654" s="32"/>
      <c r="F654" s="32"/>
      <c r="G654" s="32"/>
      <c r="I654" s="32"/>
    </row>
    <row r="655" spans="5:9">
      <c r="E655" s="32"/>
      <c r="F655" s="32"/>
      <c r="G655" s="32"/>
      <c r="I655" s="32"/>
    </row>
    <row r="656" spans="5:9">
      <c r="E656" s="32"/>
      <c r="F656" s="32"/>
      <c r="G656" s="32"/>
      <c r="I656" s="32"/>
    </row>
    <row r="657" spans="5:9">
      <c r="E657" s="32"/>
      <c r="F657" s="32"/>
      <c r="G657" s="32"/>
      <c r="I657" s="32"/>
    </row>
    <row r="658" spans="5:9">
      <c r="E658" s="32"/>
      <c r="F658" s="32"/>
      <c r="G658" s="32"/>
      <c r="I658" s="32"/>
    </row>
    <row r="659" spans="5:9">
      <c r="E659" s="32"/>
      <c r="F659" s="32"/>
      <c r="G659" s="32"/>
      <c r="I659" s="32"/>
    </row>
    <row r="660" spans="5:9">
      <c r="E660" s="32"/>
      <c r="F660" s="32"/>
      <c r="G660" s="32"/>
      <c r="I660" s="32"/>
    </row>
    <row r="661" spans="5:9">
      <c r="E661" s="32"/>
      <c r="F661" s="32"/>
      <c r="G661" s="32"/>
      <c r="I661" s="32"/>
    </row>
    <row r="662" spans="5:9">
      <c r="E662" s="32"/>
      <c r="F662" s="32"/>
      <c r="G662" s="32"/>
      <c r="I662" s="32"/>
    </row>
    <row r="663" spans="5:9">
      <c r="E663" s="32"/>
      <c r="F663" s="32"/>
      <c r="G663" s="32"/>
      <c r="I663" s="32"/>
    </row>
    <row r="664" spans="5:9">
      <c r="E664" s="32"/>
      <c r="F664" s="32"/>
      <c r="G664" s="32"/>
      <c r="I664" s="32"/>
    </row>
    <row r="665" spans="5:9">
      <c r="E665" s="32"/>
      <c r="F665" s="32"/>
      <c r="G665" s="32"/>
      <c r="I665" s="32"/>
    </row>
    <row r="666" spans="5:9">
      <c r="E666" s="32"/>
      <c r="F666" s="32"/>
      <c r="G666" s="32"/>
      <c r="I666" s="32"/>
    </row>
    <row r="667" spans="5:9">
      <c r="E667" s="32"/>
      <c r="F667" s="32"/>
      <c r="G667" s="32"/>
      <c r="I667" s="32"/>
    </row>
    <row r="668" spans="5:9">
      <c r="E668" s="32"/>
      <c r="F668" s="32"/>
      <c r="G668" s="32"/>
      <c r="I668" s="32"/>
    </row>
    <row r="669" spans="5:9">
      <c r="E669" s="32"/>
      <c r="F669" s="32"/>
      <c r="G669" s="32"/>
      <c r="I669" s="32"/>
    </row>
    <row r="670" spans="5:9">
      <c r="E670" s="32"/>
      <c r="F670" s="32"/>
      <c r="G670" s="32"/>
      <c r="I670" s="32"/>
    </row>
    <row r="671" spans="5:9">
      <c r="E671" s="32"/>
      <c r="F671" s="32"/>
      <c r="G671" s="32"/>
      <c r="I671" s="32"/>
    </row>
    <row r="672" spans="5:9">
      <c r="E672" s="32"/>
      <c r="F672" s="32"/>
      <c r="G672" s="32"/>
      <c r="I672" s="32"/>
    </row>
    <row r="673" spans="5:9">
      <c r="E673" s="32"/>
      <c r="F673" s="32"/>
      <c r="G673" s="32"/>
      <c r="I673" s="32"/>
    </row>
    <row r="674" spans="5:9">
      <c r="E674" s="32"/>
      <c r="F674" s="32"/>
      <c r="G674" s="32"/>
      <c r="I674" s="32"/>
    </row>
    <row r="675" spans="5:9">
      <c r="E675" s="32"/>
      <c r="F675" s="32"/>
      <c r="G675" s="32"/>
      <c r="I675" s="32"/>
    </row>
    <row r="676" spans="5:9">
      <c r="E676" s="32"/>
      <c r="F676" s="32"/>
      <c r="G676" s="32"/>
      <c r="I676" s="32"/>
    </row>
    <row r="677" spans="5:9">
      <c r="E677" s="32"/>
      <c r="F677" s="32"/>
      <c r="G677" s="32"/>
      <c r="I677" s="32"/>
    </row>
    <row r="678" spans="5:9">
      <c r="E678" s="32"/>
      <c r="F678" s="32"/>
      <c r="G678" s="32"/>
      <c r="I678" s="32"/>
    </row>
    <row r="679" spans="5:9">
      <c r="E679" s="32"/>
      <c r="F679" s="32"/>
      <c r="G679" s="32"/>
      <c r="I679" s="32"/>
    </row>
    <row r="680" spans="5:9">
      <c r="E680" s="32"/>
      <c r="F680" s="32"/>
      <c r="G680" s="32"/>
      <c r="I680" s="32"/>
    </row>
    <row r="681" spans="5:9">
      <c r="E681" s="32"/>
      <c r="F681" s="32"/>
      <c r="G681" s="32"/>
      <c r="I681" s="32"/>
    </row>
    <row r="682" spans="5:9">
      <c r="E682" s="32"/>
      <c r="F682" s="32"/>
      <c r="G682" s="32"/>
      <c r="I682" s="32"/>
    </row>
    <row r="683" spans="5:9">
      <c r="E683" s="32"/>
      <c r="F683" s="32"/>
      <c r="G683" s="32"/>
      <c r="I683" s="32"/>
    </row>
    <row r="684" spans="5:9">
      <c r="E684" s="32"/>
      <c r="F684" s="32"/>
      <c r="G684" s="32"/>
      <c r="I684" s="32"/>
    </row>
    <row r="685" spans="5:9">
      <c r="E685" s="32"/>
      <c r="F685" s="32"/>
      <c r="G685" s="32"/>
      <c r="I685" s="32"/>
    </row>
    <row r="686" spans="5:9">
      <c r="E686" s="32"/>
      <c r="F686" s="32"/>
      <c r="G686" s="32"/>
      <c r="I686" s="32"/>
    </row>
    <row r="687" spans="5:9">
      <c r="E687" s="32"/>
      <c r="F687" s="32"/>
      <c r="G687" s="32"/>
      <c r="I687" s="32"/>
    </row>
    <row r="688" spans="5:9">
      <c r="E688" s="32"/>
      <c r="F688" s="32"/>
      <c r="G688" s="32"/>
      <c r="I688" s="32"/>
    </row>
    <row r="689" spans="5:9">
      <c r="E689" s="32"/>
      <c r="F689" s="32"/>
      <c r="G689" s="32"/>
      <c r="I689" s="32"/>
    </row>
    <row r="690" spans="5:9">
      <c r="E690" s="32"/>
      <c r="F690" s="32"/>
      <c r="G690" s="32"/>
      <c r="I690" s="32"/>
    </row>
    <row r="691" spans="5:9">
      <c r="E691" s="32"/>
      <c r="F691" s="32"/>
      <c r="G691" s="32"/>
      <c r="I691" s="32"/>
    </row>
    <row r="692" spans="5:9">
      <c r="E692" s="32"/>
      <c r="F692" s="32"/>
      <c r="G692" s="32"/>
      <c r="I692" s="32"/>
    </row>
    <row r="693" spans="5:9">
      <c r="E693" s="32"/>
      <c r="F693" s="32"/>
      <c r="G693" s="32"/>
      <c r="I693" s="32"/>
    </row>
    <row r="694" spans="5:9">
      <c r="E694" s="32"/>
      <c r="F694" s="32"/>
      <c r="G694" s="32"/>
      <c r="I694" s="32"/>
    </row>
    <row r="695" spans="5:9">
      <c r="E695" s="32"/>
      <c r="F695" s="32"/>
      <c r="G695" s="32"/>
      <c r="I695" s="32"/>
    </row>
    <row r="696" spans="5:9">
      <c r="E696" s="32"/>
      <c r="F696" s="32"/>
      <c r="G696" s="32"/>
      <c r="I696" s="32"/>
    </row>
    <row r="697" spans="5:9">
      <c r="E697" s="32"/>
      <c r="F697" s="32"/>
      <c r="G697" s="32"/>
      <c r="I697" s="32"/>
    </row>
    <row r="698" spans="5:9">
      <c r="E698" s="32"/>
      <c r="F698" s="32"/>
      <c r="G698" s="32"/>
      <c r="I698" s="32"/>
    </row>
    <row r="699" spans="5:9">
      <c r="E699" s="32"/>
      <c r="F699" s="32"/>
      <c r="G699" s="32"/>
      <c r="I699" s="32"/>
    </row>
    <row r="700" spans="5:9">
      <c r="E700" s="32"/>
      <c r="F700" s="32"/>
      <c r="G700" s="32"/>
      <c r="I700" s="32"/>
    </row>
    <row r="701" spans="5:9">
      <c r="E701" s="32"/>
      <c r="F701" s="32"/>
      <c r="G701" s="32"/>
      <c r="I701" s="32"/>
    </row>
    <row r="702" spans="5:9">
      <c r="E702" s="32"/>
      <c r="F702" s="32"/>
      <c r="G702" s="32"/>
      <c r="I702" s="32"/>
    </row>
    <row r="703" spans="5:9">
      <c r="E703" s="32"/>
      <c r="F703" s="32"/>
      <c r="G703" s="32"/>
      <c r="I703" s="32"/>
    </row>
    <row r="704" spans="5:9">
      <c r="E704" s="32"/>
      <c r="F704" s="32"/>
      <c r="G704" s="32"/>
      <c r="I704" s="32"/>
    </row>
    <row r="705" spans="5:9">
      <c r="E705" s="32"/>
      <c r="F705" s="32"/>
      <c r="G705" s="32"/>
      <c r="I705" s="32"/>
    </row>
    <row r="706" spans="5:9">
      <c r="E706" s="32"/>
      <c r="F706" s="32"/>
      <c r="G706" s="32"/>
      <c r="I706" s="32"/>
    </row>
    <row r="707" spans="5:9">
      <c r="E707" s="32"/>
      <c r="F707" s="32"/>
      <c r="G707" s="32"/>
      <c r="I707" s="32"/>
    </row>
    <row r="708" spans="5:9">
      <c r="E708" s="32"/>
      <c r="F708" s="32"/>
      <c r="G708" s="32"/>
      <c r="I708" s="32"/>
    </row>
    <row r="709" spans="5:9">
      <c r="E709" s="32"/>
      <c r="F709" s="32"/>
      <c r="G709" s="32"/>
      <c r="I709" s="32"/>
    </row>
    <row r="710" spans="5:9">
      <c r="E710" s="32"/>
      <c r="F710" s="32"/>
      <c r="G710" s="32"/>
      <c r="I710" s="32"/>
    </row>
    <row r="711" spans="5:9">
      <c r="E711" s="32"/>
      <c r="F711" s="32"/>
      <c r="G711" s="32"/>
      <c r="I711" s="32"/>
    </row>
    <row r="712" spans="5:9">
      <c r="E712" s="32"/>
      <c r="F712" s="32"/>
      <c r="G712" s="32"/>
      <c r="I712" s="32"/>
    </row>
    <row r="713" spans="5:9">
      <c r="E713" s="32"/>
      <c r="F713" s="32"/>
      <c r="G713" s="32"/>
      <c r="I713" s="32"/>
    </row>
    <row r="714" spans="5:9">
      <c r="E714" s="32"/>
      <c r="F714" s="32"/>
      <c r="G714" s="32"/>
      <c r="I714" s="32"/>
    </row>
    <row r="715" spans="5:9">
      <c r="E715" s="32"/>
      <c r="F715" s="32"/>
      <c r="G715" s="32"/>
      <c r="I715" s="32"/>
    </row>
    <row r="716" spans="5:9">
      <c r="E716" s="32"/>
      <c r="F716" s="32"/>
      <c r="G716" s="32"/>
      <c r="I716" s="32"/>
    </row>
    <row r="717" spans="5:9">
      <c r="E717" s="32"/>
      <c r="F717" s="32"/>
      <c r="G717" s="32"/>
      <c r="I717" s="32"/>
    </row>
    <row r="718" spans="5:9">
      <c r="E718" s="32"/>
      <c r="F718" s="32"/>
      <c r="G718" s="32"/>
      <c r="I718" s="32"/>
    </row>
    <row r="719" spans="5:9">
      <c r="E719" s="32"/>
      <c r="F719" s="32"/>
      <c r="G719" s="32"/>
      <c r="I719" s="32"/>
    </row>
    <row r="720" spans="5:9">
      <c r="E720" s="32"/>
      <c r="F720" s="32"/>
      <c r="G720" s="32"/>
      <c r="I720" s="32"/>
    </row>
    <row r="721" spans="5:9">
      <c r="E721" s="32"/>
      <c r="F721" s="32"/>
      <c r="G721" s="32"/>
      <c r="I721" s="32"/>
    </row>
    <row r="722" spans="5:9">
      <c r="E722" s="32"/>
      <c r="F722" s="32"/>
      <c r="G722" s="32"/>
      <c r="I722" s="32"/>
    </row>
    <row r="723" spans="5:9">
      <c r="E723" s="32"/>
      <c r="F723" s="32"/>
      <c r="G723" s="32"/>
      <c r="I723" s="32"/>
    </row>
    <row r="724" spans="5:9">
      <c r="E724" s="32"/>
      <c r="F724" s="32"/>
      <c r="G724" s="32"/>
      <c r="I724" s="32"/>
    </row>
    <row r="725" spans="5:9">
      <c r="E725" s="32"/>
      <c r="F725" s="32"/>
      <c r="G725" s="32"/>
      <c r="I725" s="32"/>
    </row>
    <row r="726" spans="5:9">
      <c r="E726" s="32"/>
      <c r="F726" s="32"/>
      <c r="G726" s="32"/>
      <c r="I726" s="32"/>
    </row>
    <row r="727" spans="5:9">
      <c r="E727" s="32"/>
      <c r="F727" s="32"/>
      <c r="G727" s="32"/>
      <c r="I727" s="32"/>
    </row>
    <row r="728" spans="5:9">
      <c r="E728" s="32"/>
      <c r="F728" s="32"/>
      <c r="G728" s="32"/>
      <c r="I728" s="32"/>
    </row>
    <row r="729" spans="5:9">
      <c r="E729" s="32"/>
      <c r="F729" s="32"/>
      <c r="G729" s="32"/>
      <c r="I729" s="32"/>
    </row>
    <row r="730" spans="5:9">
      <c r="E730" s="32"/>
      <c r="F730" s="32"/>
      <c r="G730" s="32"/>
      <c r="I730" s="32"/>
    </row>
    <row r="731" spans="5:9">
      <c r="E731" s="32"/>
      <c r="F731" s="32"/>
      <c r="G731" s="32"/>
      <c r="I731" s="32"/>
    </row>
    <row r="732" spans="5:9">
      <c r="E732" s="32"/>
      <c r="F732" s="32"/>
      <c r="G732" s="32"/>
      <c r="I732" s="32"/>
    </row>
    <row r="733" spans="5:9">
      <c r="E733" s="32"/>
      <c r="F733" s="32"/>
      <c r="G733" s="32"/>
      <c r="I733" s="32"/>
    </row>
    <row r="734" spans="5:9">
      <c r="E734" s="32"/>
      <c r="F734" s="32"/>
      <c r="G734" s="32"/>
      <c r="I734" s="32"/>
    </row>
    <row r="735" spans="5:9">
      <c r="E735" s="32"/>
      <c r="F735" s="32"/>
      <c r="G735" s="32"/>
      <c r="I735" s="32"/>
    </row>
    <row r="736" spans="5:9">
      <c r="E736" s="32"/>
      <c r="F736" s="32"/>
      <c r="G736" s="32"/>
      <c r="I736" s="32"/>
    </row>
    <row r="737" spans="5:9">
      <c r="E737" s="32"/>
      <c r="F737" s="32"/>
      <c r="G737" s="32"/>
      <c r="I737" s="32"/>
    </row>
    <row r="738" spans="5:9">
      <c r="E738" s="32"/>
      <c r="F738" s="32"/>
      <c r="G738" s="32"/>
      <c r="I738" s="32"/>
    </row>
    <row r="739" spans="5:9">
      <c r="E739" s="32"/>
      <c r="F739" s="32"/>
      <c r="G739" s="32"/>
      <c r="I739" s="32"/>
    </row>
    <row r="740" spans="5:9">
      <c r="E740" s="32"/>
      <c r="F740" s="32"/>
      <c r="G740" s="32"/>
      <c r="I740" s="32"/>
    </row>
    <row r="741" spans="5:9">
      <c r="E741" s="32"/>
      <c r="F741" s="32"/>
      <c r="G741" s="32"/>
      <c r="I741" s="32"/>
    </row>
    <row r="742" spans="5:9">
      <c r="E742" s="32"/>
      <c r="F742" s="32"/>
      <c r="G742" s="32"/>
      <c r="I742" s="32"/>
    </row>
    <row r="743" spans="5:9">
      <c r="E743" s="32"/>
      <c r="F743" s="32"/>
      <c r="G743" s="32"/>
      <c r="I743" s="32"/>
    </row>
    <row r="744" spans="5:9">
      <c r="E744" s="32"/>
      <c r="F744" s="32"/>
      <c r="G744" s="32"/>
      <c r="I744" s="32"/>
    </row>
    <row r="745" spans="5:9">
      <c r="E745" s="32"/>
      <c r="F745" s="32"/>
      <c r="G745" s="32"/>
      <c r="I745" s="32"/>
    </row>
    <row r="746" spans="5:9">
      <c r="E746" s="32"/>
      <c r="F746" s="32"/>
      <c r="G746" s="32"/>
      <c r="I746" s="32"/>
    </row>
    <row r="747" spans="5:9">
      <c r="E747" s="32"/>
      <c r="F747" s="32"/>
      <c r="G747" s="32"/>
      <c r="I747" s="32"/>
    </row>
    <row r="748" spans="5:9">
      <c r="E748" s="32"/>
      <c r="F748" s="32"/>
      <c r="G748" s="32"/>
      <c r="I748" s="32"/>
    </row>
    <row r="749" spans="5:9">
      <c r="E749" s="32"/>
      <c r="F749" s="32"/>
      <c r="G749" s="32"/>
      <c r="I749" s="32"/>
    </row>
    <row r="750" spans="5:9">
      <c r="E750" s="32"/>
      <c r="F750" s="32"/>
      <c r="G750" s="32"/>
      <c r="I750" s="32"/>
    </row>
    <row r="751" spans="5:9">
      <c r="E751" s="32"/>
      <c r="F751" s="32"/>
      <c r="G751" s="32"/>
      <c r="I751" s="32"/>
    </row>
    <row r="752" spans="5:9">
      <c r="E752" s="32"/>
      <c r="F752" s="32"/>
      <c r="G752" s="32"/>
      <c r="I752" s="32"/>
    </row>
    <row r="753" spans="5:9">
      <c r="E753" s="32"/>
      <c r="F753" s="32"/>
      <c r="G753" s="32"/>
      <c r="I753" s="32"/>
    </row>
    <row r="754" spans="5:9">
      <c r="E754" s="32"/>
      <c r="F754" s="32"/>
      <c r="G754" s="32"/>
      <c r="I754" s="32"/>
    </row>
    <row r="755" spans="5:9">
      <c r="E755" s="32"/>
      <c r="F755" s="32"/>
      <c r="G755" s="32"/>
      <c r="I755" s="32"/>
    </row>
    <row r="756" spans="5:9">
      <c r="E756" s="32"/>
      <c r="F756" s="32"/>
      <c r="G756" s="32"/>
      <c r="I756" s="32"/>
    </row>
    <row r="757" spans="5:9">
      <c r="E757" s="32"/>
      <c r="F757" s="32"/>
      <c r="G757" s="32"/>
      <c r="I757" s="32"/>
    </row>
    <row r="758" spans="5:9">
      <c r="E758" s="32"/>
      <c r="F758" s="32"/>
      <c r="G758" s="32"/>
      <c r="I758" s="32"/>
    </row>
    <row r="759" spans="5:9">
      <c r="E759" s="32"/>
      <c r="F759" s="32"/>
      <c r="G759" s="32"/>
      <c r="I759" s="32"/>
    </row>
    <row r="760" spans="5:9">
      <c r="E760" s="32"/>
      <c r="F760" s="32"/>
      <c r="G760" s="32"/>
      <c r="I760" s="32"/>
    </row>
    <row r="761" spans="5:9">
      <c r="E761" s="32"/>
      <c r="F761" s="32"/>
      <c r="G761" s="32"/>
      <c r="I761" s="32"/>
    </row>
    <row r="762" spans="5:9">
      <c r="E762" s="32"/>
      <c r="F762" s="32"/>
      <c r="G762" s="32"/>
      <c r="I762" s="32"/>
    </row>
    <row r="763" spans="5:9">
      <c r="E763" s="32"/>
      <c r="F763" s="32"/>
      <c r="G763" s="32"/>
      <c r="I763" s="32"/>
    </row>
    <row r="764" spans="5:9">
      <c r="E764" s="32"/>
      <c r="F764" s="32"/>
      <c r="G764" s="32"/>
      <c r="I764" s="32"/>
    </row>
    <row r="765" spans="5:9">
      <c r="E765" s="32"/>
      <c r="F765" s="32"/>
      <c r="G765" s="32"/>
      <c r="I765" s="32"/>
    </row>
    <row r="766" spans="5:9">
      <c r="E766" s="32"/>
      <c r="F766" s="32"/>
      <c r="G766" s="32"/>
      <c r="I766" s="32"/>
    </row>
    <row r="767" spans="5:9">
      <c r="E767" s="32"/>
      <c r="F767" s="32"/>
      <c r="G767" s="32"/>
      <c r="I767" s="32"/>
    </row>
    <row r="768" spans="5:9">
      <c r="E768" s="32"/>
      <c r="F768" s="32"/>
      <c r="G768" s="32"/>
      <c r="I768" s="32"/>
    </row>
    <row r="769" spans="5:9">
      <c r="E769" s="32"/>
      <c r="F769" s="32"/>
      <c r="G769" s="32"/>
      <c r="I769" s="32"/>
    </row>
    <row r="770" spans="5:9">
      <c r="E770" s="32"/>
      <c r="F770" s="32"/>
      <c r="G770" s="32"/>
      <c r="I770" s="32"/>
    </row>
    <row r="771" spans="5:9">
      <c r="E771" s="32"/>
      <c r="F771" s="32"/>
      <c r="G771" s="32"/>
      <c r="I771" s="32"/>
    </row>
    <row r="772" spans="5:9">
      <c r="E772" s="32"/>
      <c r="F772" s="32"/>
      <c r="G772" s="32"/>
      <c r="I772" s="32"/>
    </row>
    <row r="773" spans="5:9">
      <c r="E773" s="32"/>
      <c r="F773" s="32"/>
      <c r="G773" s="32"/>
      <c r="I773" s="32"/>
    </row>
    <row r="774" spans="5:9">
      <c r="E774" s="32"/>
      <c r="F774" s="32"/>
      <c r="G774" s="32"/>
      <c r="I774" s="32"/>
    </row>
    <row r="775" spans="5:9">
      <c r="E775" s="32"/>
      <c r="F775" s="32"/>
      <c r="G775" s="32"/>
      <c r="I775" s="32"/>
    </row>
    <row r="776" spans="5:9">
      <c r="E776" s="32"/>
      <c r="F776" s="32"/>
      <c r="G776" s="32"/>
      <c r="I776" s="32"/>
    </row>
    <row r="777" spans="5:9">
      <c r="E777" s="32"/>
      <c r="F777" s="32"/>
      <c r="G777" s="32"/>
      <c r="I777" s="32"/>
    </row>
    <row r="778" spans="5:9">
      <c r="E778" s="32"/>
      <c r="F778" s="32"/>
      <c r="G778" s="32"/>
      <c r="I778" s="32"/>
    </row>
    <row r="779" spans="5:9">
      <c r="E779" s="32"/>
      <c r="F779" s="32"/>
      <c r="G779" s="32"/>
      <c r="I779" s="32"/>
    </row>
    <row r="780" spans="5:9">
      <c r="E780" s="32"/>
      <c r="F780" s="32"/>
      <c r="G780" s="32"/>
      <c r="I780" s="32"/>
    </row>
    <row r="781" spans="5:9">
      <c r="E781" s="32"/>
      <c r="F781" s="32"/>
      <c r="G781" s="32"/>
      <c r="I781" s="32"/>
    </row>
    <row r="782" spans="5:9">
      <c r="E782" s="32"/>
      <c r="F782" s="32"/>
      <c r="G782" s="32"/>
      <c r="I782" s="32"/>
    </row>
    <row r="783" spans="5:9">
      <c r="E783" s="32"/>
      <c r="F783" s="32"/>
      <c r="G783" s="32"/>
      <c r="I783" s="32"/>
    </row>
    <row r="784" spans="5:9">
      <c r="E784" s="32"/>
      <c r="F784" s="32"/>
      <c r="G784" s="32"/>
      <c r="I784" s="32"/>
    </row>
    <row r="785" spans="5:9">
      <c r="E785" s="32"/>
      <c r="F785" s="32"/>
      <c r="G785" s="32"/>
      <c r="I785" s="32"/>
    </row>
    <row r="786" spans="5:9">
      <c r="E786" s="32"/>
      <c r="F786" s="32"/>
      <c r="G786" s="32"/>
      <c r="I786" s="32"/>
    </row>
    <row r="787" spans="5:9">
      <c r="E787" s="32"/>
      <c r="F787" s="32"/>
      <c r="G787" s="32"/>
      <c r="I787" s="32"/>
    </row>
    <row r="788" spans="5:9">
      <c r="E788" s="32"/>
      <c r="F788" s="32"/>
      <c r="G788" s="32"/>
      <c r="I788" s="32"/>
    </row>
    <row r="789" spans="5:9">
      <c r="E789" s="32"/>
      <c r="F789" s="32"/>
      <c r="G789" s="32"/>
      <c r="I789" s="32"/>
    </row>
    <row r="790" spans="5:9">
      <c r="E790" s="32"/>
      <c r="F790" s="32"/>
      <c r="G790" s="32"/>
      <c r="I790" s="32"/>
    </row>
    <row r="791" spans="5:9">
      <c r="E791" s="32"/>
      <c r="F791" s="32"/>
      <c r="G791" s="32"/>
      <c r="I791" s="32"/>
    </row>
    <row r="792" spans="5:9">
      <c r="E792" s="32"/>
      <c r="F792" s="32"/>
      <c r="G792" s="32"/>
      <c r="I792" s="32"/>
    </row>
    <row r="793" spans="5:9">
      <c r="E793" s="32"/>
      <c r="F793" s="32"/>
      <c r="G793" s="32"/>
      <c r="I793" s="32"/>
    </row>
    <row r="794" spans="5:9">
      <c r="E794" s="32"/>
      <c r="F794" s="32"/>
      <c r="G794" s="32"/>
      <c r="I794" s="32"/>
    </row>
    <row r="795" spans="5:9">
      <c r="E795" s="32"/>
      <c r="F795" s="32"/>
      <c r="G795" s="32"/>
      <c r="I795" s="32"/>
    </row>
    <row r="796" spans="5:9">
      <c r="E796" s="32"/>
      <c r="F796" s="32"/>
      <c r="G796" s="32"/>
      <c r="I796" s="32"/>
    </row>
    <row r="797" spans="5:9">
      <c r="E797" s="32"/>
      <c r="F797" s="32"/>
      <c r="G797" s="32"/>
      <c r="I797" s="32"/>
    </row>
    <row r="798" spans="5:9">
      <c r="E798" s="32"/>
      <c r="F798" s="32"/>
      <c r="G798" s="32"/>
      <c r="I798" s="32"/>
    </row>
    <row r="799" spans="5:9">
      <c r="E799" s="32"/>
      <c r="F799" s="32"/>
      <c r="G799" s="32"/>
      <c r="I799" s="32"/>
    </row>
    <row r="800" spans="5:9">
      <c r="E800" s="32"/>
      <c r="F800" s="32"/>
      <c r="G800" s="32"/>
      <c r="I800" s="32"/>
    </row>
    <row r="801" spans="5:9">
      <c r="E801" s="32"/>
      <c r="F801" s="32"/>
      <c r="G801" s="32"/>
      <c r="I801" s="32"/>
    </row>
    <row r="802" spans="5:9">
      <c r="E802" s="32"/>
      <c r="F802" s="32"/>
      <c r="G802" s="32"/>
      <c r="I802" s="32"/>
    </row>
    <row r="803" spans="5:9">
      <c r="E803" s="32"/>
      <c r="F803" s="32"/>
      <c r="G803" s="32"/>
      <c r="I803" s="32"/>
    </row>
    <row r="804" spans="5:9">
      <c r="E804" s="32"/>
      <c r="F804" s="32"/>
      <c r="G804" s="32"/>
      <c r="I804" s="32"/>
    </row>
    <row r="805" spans="5:9">
      <c r="E805" s="32"/>
      <c r="F805" s="32"/>
      <c r="G805" s="32"/>
      <c r="I805" s="32"/>
    </row>
    <row r="806" spans="5:9">
      <c r="E806" s="32"/>
      <c r="F806" s="32"/>
      <c r="G806" s="32"/>
      <c r="I806" s="32"/>
    </row>
    <row r="807" spans="5:9">
      <c r="E807" s="32"/>
      <c r="F807" s="32"/>
      <c r="G807" s="32"/>
      <c r="I807" s="32"/>
    </row>
    <row r="808" spans="5:9">
      <c r="E808" s="32"/>
      <c r="F808" s="32"/>
      <c r="G808" s="32"/>
      <c r="I808" s="32"/>
    </row>
    <row r="809" spans="5:9">
      <c r="E809" s="32"/>
      <c r="F809" s="32"/>
      <c r="G809" s="32"/>
      <c r="I809" s="32"/>
    </row>
    <row r="810" spans="5:9">
      <c r="E810" s="32"/>
      <c r="F810" s="32"/>
      <c r="G810" s="32"/>
      <c r="I810" s="32"/>
    </row>
    <row r="811" spans="5:9">
      <c r="E811" s="32"/>
      <c r="F811" s="32"/>
      <c r="G811" s="32"/>
      <c r="I811" s="32"/>
    </row>
    <row r="812" spans="5:9">
      <c r="E812" s="32"/>
      <c r="F812" s="32"/>
      <c r="G812" s="32"/>
      <c r="I812" s="32"/>
    </row>
    <row r="813" spans="5:9">
      <c r="E813" s="32"/>
      <c r="F813" s="32"/>
      <c r="G813" s="32"/>
      <c r="I813" s="32"/>
    </row>
    <row r="814" spans="5:9">
      <c r="E814" s="32"/>
      <c r="F814" s="32"/>
      <c r="G814" s="32"/>
      <c r="I814" s="32"/>
    </row>
    <row r="815" spans="5:9">
      <c r="E815" s="32"/>
      <c r="F815" s="32"/>
      <c r="G815" s="32"/>
      <c r="I815" s="32"/>
    </row>
    <row r="816" spans="5:9">
      <c r="E816" s="32"/>
      <c r="F816" s="32"/>
      <c r="G816" s="32"/>
      <c r="I816" s="32"/>
    </row>
    <row r="817" spans="5:9">
      <c r="E817" s="32"/>
      <c r="F817" s="32"/>
      <c r="G817" s="32"/>
      <c r="I817" s="32"/>
    </row>
    <row r="818" spans="5:9">
      <c r="E818" s="32"/>
      <c r="F818" s="32"/>
      <c r="G818" s="32"/>
      <c r="I818" s="32"/>
    </row>
    <row r="819" spans="5:9">
      <c r="E819" s="32"/>
      <c r="F819" s="32"/>
      <c r="G819" s="32"/>
      <c r="I819" s="32"/>
    </row>
    <row r="820" spans="5:9">
      <c r="E820" s="32"/>
      <c r="F820" s="32"/>
      <c r="G820" s="32"/>
      <c r="I820" s="32"/>
    </row>
    <row r="821" spans="5:9">
      <c r="E821" s="32"/>
      <c r="F821" s="32"/>
      <c r="G821" s="32"/>
      <c r="I821" s="32"/>
    </row>
    <row r="822" spans="5:9">
      <c r="E822" s="32"/>
      <c r="F822" s="32"/>
      <c r="G822" s="32"/>
      <c r="I822" s="32"/>
    </row>
    <row r="823" spans="5:9">
      <c r="E823" s="32"/>
      <c r="F823" s="32"/>
      <c r="G823" s="32"/>
      <c r="I823" s="32"/>
    </row>
    <row r="824" spans="5:9">
      <c r="E824" s="32"/>
      <c r="F824" s="32"/>
      <c r="G824" s="32"/>
      <c r="I824" s="32"/>
    </row>
    <row r="825" spans="5:9">
      <c r="E825" s="32"/>
      <c r="F825" s="32"/>
      <c r="G825" s="32"/>
      <c r="I825" s="32"/>
    </row>
    <row r="826" spans="5:9">
      <c r="E826" s="32"/>
      <c r="F826" s="32"/>
      <c r="G826" s="32"/>
      <c r="I826" s="32"/>
    </row>
    <row r="827" spans="5:9">
      <c r="E827" s="32"/>
      <c r="F827" s="32"/>
      <c r="G827" s="32"/>
      <c r="I827" s="32"/>
    </row>
    <row r="828" spans="5:9">
      <c r="E828" s="32"/>
      <c r="F828" s="32"/>
      <c r="G828" s="32"/>
      <c r="I828" s="32"/>
    </row>
    <row r="829" spans="5:9">
      <c r="E829" s="32"/>
      <c r="F829" s="32"/>
      <c r="G829" s="32"/>
      <c r="I829" s="32"/>
    </row>
    <row r="830" spans="5:9">
      <c r="E830" s="32"/>
      <c r="F830" s="32"/>
      <c r="G830" s="32"/>
      <c r="I830" s="32"/>
    </row>
    <row r="831" spans="5:9">
      <c r="E831" s="32"/>
      <c r="F831" s="32"/>
      <c r="G831" s="32"/>
      <c r="I831" s="32"/>
    </row>
    <row r="832" spans="5:9">
      <c r="E832" s="32"/>
      <c r="F832" s="32"/>
      <c r="G832" s="32"/>
      <c r="I832" s="32"/>
    </row>
    <row r="833" spans="5:9">
      <c r="E833" s="32"/>
      <c r="F833" s="32"/>
      <c r="G833" s="32"/>
      <c r="I833" s="32"/>
    </row>
    <row r="834" spans="5:9">
      <c r="E834" s="32"/>
      <c r="F834" s="32"/>
      <c r="G834" s="32"/>
      <c r="I834" s="32"/>
    </row>
    <row r="835" spans="5:9">
      <c r="E835" s="32"/>
      <c r="F835" s="32"/>
      <c r="G835" s="32"/>
      <c r="I835" s="32"/>
    </row>
    <row r="836" spans="5:9">
      <c r="E836" s="32"/>
      <c r="F836" s="32"/>
      <c r="G836" s="32"/>
      <c r="I836" s="32"/>
    </row>
    <row r="837" spans="5:9">
      <c r="E837" s="32"/>
      <c r="F837" s="32"/>
      <c r="G837" s="32"/>
      <c r="I837" s="32"/>
    </row>
    <row r="838" spans="5:9">
      <c r="E838" s="32"/>
      <c r="F838" s="32"/>
      <c r="G838" s="32"/>
      <c r="I838" s="32"/>
    </row>
    <row r="839" spans="5:9">
      <c r="E839" s="32"/>
      <c r="F839" s="32"/>
      <c r="G839" s="32"/>
      <c r="I839" s="32"/>
    </row>
    <row r="840" spans="5:9">
      <c r="E840" s="32"/>
      <c r="F840" s="32"/>
      <c r="G840" s="32"/>
      <c r="I840" s="32"/>
    </row>
    <row r="841" spans="5:9">
      <c r="E841" s="32"/>
      <c r="F841" s="32"/>
      <c r="G841" s="32"/>
      <c r="I841" s="32"/>
    </row>
    <row r="842" spans="5:9">
      <c r="E842" s="32"/>
      <c r="F842" s="32"/>
      <c r="G842" s="32"/>
      <c r="I842" s="32"/>
    </row>
    <row r="843" spans="5:9">
      <c r="E843" s="32"/>
      <c r="F843" s="32"/>
      <c r="G843" s="32"/>
      <c r="I843" s="32"/>
    </row>
    <row r="844" spans="5:9">
      <c r="E844" s="32"/>
      <c r="F844" s="32"/>
      <c r="G844" s="32"/>
      <c r="I844" s="32"/>
    </row>
    <row r="845" spans="5:9">
      <c r="E845" s="32"/>
      <c r="F845" s="32"/>
      <c r="G845" s="32"/>
      <c r="I845" s="32"/>
    </row>
    <row r="846" spans="5:9">
      <c r="E846" s="32"/>
      <c r="F846" s="32"/>
      <c r="G846" s="32"/>
      <c r="I846" s="32"/>
    </row>
    <row r="847" spans="5:9">
      <c r="E847" s="32"/>
      <c r="F847" s="32"/>
      <c r="G847" s="32"/>
      <c r="I847" s="32"/>
    </row>
    <row r="848" spans="5:9">
      <c r="E848" s="32"/>
      <c r="F848" s="32"/>
      <c r="G848" s="32"/>
      <c r="I848" s="32"/>
    </row>
    <row r="849" spans="5:9">
      <c r="E849" s="32"/>
      <c r="F849" s="32"/>
      <c r="G849" s="32"/>
      <c r="I849" s="32"/>
    </row>
    <row r="850" spans="5:9">
      <c r="E850" s="32"/>
      <c r="F850" s="32"/>
      <c r="G850" s="32"/>
      <c r="I850" s="32"/>
    </row>
    <row r="851" spans="5:9">
      <c r="E851" s="32"/>
      <c r="F851" s="32"/>
      <c r="G851" s="32"/>
      <c r="I851" s="32"/>
    </row>
    <row r="852" spans="5:9">
      <c r="E852" s="32"/>
      <c r="F852" s="32"/>
      <c r="G852" s="32"/>
      <c r="I852" s="32"/>
    </row>
    <row r="853" spans="5:9">
      <c r="E853" s="32"/>
      <c r="F853" s="32"/>
      <c r="G853" s="32"/>
      <c r="I853" s="32"/>
    </row>
    <row r="854" spans="5:9">
      <c r="E854" s="32"/>
      <c r="F854" s="32"/>
      <c r="G854" s="32"/>
      <c r="I854" s="32"/>
    </row>
    <row r="855" spans="5:9">
      <c r="E855" s="32"/>
      <c r="F855" s="32"/>
      <c r="G855" s="32"/>
      <c r="I855" s="32"/>
    </row>
    <row r="856" spans="5:9">
      <c r="E856" s="32"/>
      <c r="F856" s="32"/>
      <c r="G856" s="32"/>
      <c r="I856" s="32"/>
    </row>
    <row r="857" spans="5:9">
      <c r="E857" s="32"/>
      <c r="F857" s="32"/>
      <c r="G857" s="32"/>
      <c r="I857" s="32"/>
    </row>
    <row r="858" spans="5:9">
      <c r="E858" s="32"/>
      <c r="F858" s="32"/>
      <c r="G858" s="32"/>
      <c r="I858" s="32"/>
    </row>
    <row r="859" spans="5:9">
      <c r="E859" s="32"/>
      <c r="F859" s="32"/>
      <c r="G859" s="32"/>
      <c r="I859" s="32"/>
    </row>
    <row r="860" spans="5:9">
      <c r="E860" s="32"/>
      <c r="F860" s="32"/>
      <c r="G860" s="32"/>
      <c r="I860" s="32"/>
    </row>
    <row r="861" spans="5:9">
      <c r="E861" s="32"/>
      <c r="F861" s="32"/>
      <c r="G861" s="32"/>
      <c r="I861" s="32"/>
    </row>
    <row r="862" spans="5:9">
      <c r="E862" s="32"/>
      <c r="F862" s="32"/>
      <c r="G862" s="32"/>
      <c r="I862" s="32"/>
    </row>
    <row r="863" spans="5:9">
      <c r="E863" s="32"/>
      <c r="F863" s="32"/>
      <c r="G863" s="32"/>
      <c r="I863" s="32"/>
    </row>
    <row r="864" spans="5:9">
      <c r="E864" s="32"/>
      <c r="F864" s="32"/>
      <c r="G864" s="32"/>
      <c r="I864" s="32"/>
    </row>
    <row r="865" spans="5:9">
      <c r="E865" s="32"/>
      <c r="F865" s="32"/>
      <c r="G865" s="32"/>
      <c r="I865" s="32"/>
    </row>
    <row r="866" spans="5:9">
      <c r="E866" s="32"/>
      <c r="F866" s="32"/>
      <c r="G866" s="32"/>
      <c r="I866" s="32"/>
    </row>
    <row r="867" spans="5:9">
      <c r="E867" s="32"/>
      <c r="F867" s="32"/>
      <c r="G867" s="32"/>
      <c r="I867" s="32"/>
    </row>
    <row r="868" spans="5:9">
      <c r="E868" s="32"/>
      <c r="F868" s="32"/>
      <c r="G868" s="32"/>
      <c r="I868" s="32"/>
    </row>
    <row r="869" spans="5:9">
      <c r="E869" s="32"/>
      <c r="F869" s="32"/>
      <c r="G869" s="32"/>
      <c r="I869" s="32"/>
    </row>
    <row r="870" spans="5:9">
      <c r="E870" s="32"/>
      <c r="F870" s="32"/>
      <c r="G870" s="32"/>
      <c r="I870" s="32"/>
    </row>
    <row r="871" spans="5:9">
      <c r="E871" s="32"/>
      <c r="F871" s="32"/>
      <c r="G871" s="32"/>
      <c r="I871" s="32"/>
    </row>
    <row r="872" spans="5:9">
      <c r="E872" s="32"/>
      <c r="F872" s="32"/>
      <c r="G872" s="32"/>
      <c r="I872" s="32"/>
    </row>
    <row r="873" spans="5:9">
      <c r="E873" s="32"/>
      <c r="F873" s="32"/>
      <c r="G873" s="32"/>
      <c r="I873" s="32"/>
    </row>
    <row r="874" spans="5:9">
      <c r="E874" s="32"/>
      <c r="F874" s="32"/>
      <c r="G874" s="32"/>
      <c r="I874" s="32"/>
    </row>
    <row r="875" spans="5:9">
      <c r="E875" s="32"/>
      <c r="F875" s="32"/>
      <c r="G875" s="32"/>
      <c r="I875" s="32"/>
    </row>
    <row r="876" spans="5:9">
      <c r="E876" s="32"/>
      <c r="F876" s="32"/>
      <c r="G876" s="32"/>
      <c r="I876" s="32"/>
    </row>
    <row r="877" spans="5:9">
      <c r="E877" s="32"/>
      <c r="F877" s="32"/>
      <c r="G877" s="32"/>
      <c r="I877" s="32"/>
    </row>
    <row r="878" spans="5:9">
      <c r="E878" s="32"/>
      <c r="F878" s="32"/>
      <c r="G878" s="32"/>
      <c r="I878" s="32"/>
    </row>
    <row r="879" spans="5:9">
      <c r="E879" s="32"/>
      <c r="F879" s="32"/>
      <c r="G879" s="32"/>
      <c r="I879" s="32"/>
    </row>
    <row r="880" spans="5:9">
      <c r="E880" s="32"/>
      <c r="F880" s="32"/>
      <c r="G880" s="32"/>
      <c r="I880" s="32"/>
    </row>
    <row r="881" spans="5:9">
      <c r="E881" s="32"/>
      <c r="F881" s="32"/>
      <c r="G881" s="32"/>
      <c r="I881" s="32"/>
    </row>
    <row r="882" spans="5:9">
      <c r="E882" s="32"/>
      <c r="F882" s="32"/>
      <c r="G882" s="32"/>
      <c r="I882" s="32"/>
    </row>
    <row r="883" spans="5:9">
      <c r="E883" s="32"/>
      <c r="F883" s="32"/>
      <c r="G883" s="32"/>
      <c r="I883" s="32"/>
    </row>
    <row r="884" spans="5:9">
      <c r="E884" s="32"/>
      <c r="F884" s="32"/>
      <c r="G884" s="32"/>
      <c r="I884" s="32"/>
    </row>
    <row r="885" spans="5:9">
      <c r="E885" s="32"/>
      <c r="F885" s="32"/>
      <c r="G885" s="32"/>
      <c r="I885" s="32"/>
    </row>
    <row r="886" spans="5:9">
      <c r="E886" s="32"/>
      <c r="F886" s="32"/>
      <c r="G886" s="32"/>
      <c r="I886" s="32"/>
    </row>
    <row r="887" spans="5:9">
      <c r="E887" s="32"/>
      <c r="F887" s="32"/>
      <c r="G887" s="32"/>
      <c r="I887" s="32"/>
    </row>
    <row r="888" spans="5:9">
      <c r="E888" s="32"/>
      <c r="F888" s="32"/>
      <c r="G888" s="32"/>
      <c r="I888" s="32"/>
    </row>
    <row r="889" spans="5:9">
      <c r="E889" s="32"/>
      <c r="F889" s="32"/>
      <c r="G889" s="32"/>
      <c r="I889" s="32"/>
    </row>
    <row r="890" spans="5:9">
      <c r="E890" s="32"/>
      <c r="F890" s="32"/>
      <c r="G890" s="32"/>
      <c r="I890" s="32"/>
    </row>
    <row r="891" spans="5:9">
      <c r="E891" s="32"/>
      <c r="F891" s="32"/>
      <c r="G891" s="32"/>
      <c r="I891" s="32"/>
    </row>
    <row r="892" spans="5:9">
      <c r="E892" s="32"/>
      <c r="F892" s="32"/>
      <c r="G892" s="32"/>
      <c r="I892" s="32"/>
    </row>
    <row r="893" spans="5:9">
      <c r="E893" s="32"/>
      <c r="F893" s="32"/>
      <c r="G893" s="32"/>
      <c r="I893" s="32"/>
    </row>
    <row r="894" spans="5:9">
      <c r="E894" s="32"/>
      <c r="F894" s="32"/>
      <c r="G894" s="32"/>
      <c r="I894" s="32"/>
    </row>
    <row r="895" spans="5:9">
      <c r="E895" s="32"/>
      <c r="F895" s="32"/>
      <c r="G895" s="32"/>
      <c r="I895" s="32"/>
    </row>
    <row r="896" spans="5:9">
      <c r="E896" s="32"/>
      <c r="F896" s="32"/>
      <c r="G896" s="32"/>
      <c r="I896" s="32"/>
    </row>
    <row r="897" spans="5:9">
      <c r="E897" s="32"/>
      <c r="F897" s="32"/>
      <c r="G897" s="32"/>
      <c r="I897" s="32"/>
    </row>
    <row r="898" spans="5:9">
      <c r="E898" s="32"/>
      <c r="F898" s="32"/>
      <c r="G898" s="32"/>
      <c r="I898" s="32"/>
    </row>
    <row r="899" spans="5:9">
      <c r="E899" s="32"/>
      <c r="F899" s="32"/>
      <c r="G899" s="32"/>
      <c r="I899" s="32"/>
    </row>
    <row r="900" spans="5:9">
      <c r="E900" s="32"/>
      <c r="F900" s="32"/>
      <c r="G900" s="32"/>
      <c r="I900" s="32"/>
    </row>
    <row r="901" spans="5:9">
      <c r="E901" s="32"/>
      <c r="F901" s="32"/>
      <c r="G901" s="32"/>
      <c r="I901" s="32"/>
    </row>
    <row r="902" spans="5:9">
      <c r="E902" s="32"/>
      <c r="F902" s="32"/>
      <c r="G902" s="32"/>
      <c r="I902" s="32"/>
    </row>
    <row r="903" spans="5:9">
      <c r="E903" s="32"/>
      <c r="F903" s="32"/>
      <c r="G903" s="32"/>
      <c r="I903" s="32"/>
    </row>
    <row r="904" spans="5:9">
      <c r="E904" s="32"/>
      <c r="F904" s="32"/>
      <c r="G904" s="32"/>
      <c r="I904" s="32"/>
    </row>
    <row r="905" spans="5:9">
      <c r="E905" s="32"/>
      <c r="F905" s="32"/>
      <c r="G905" s="32"/>
      <c r="I905" s="32"/>
    </row>
    <row r="906" spans="5:9">
      <c r="E906" s="32"/>
      <c r="F906" s="32"/>
      <c r="G906" s="32"/>
      <c r="I906" s="32"/>
    </row>
    <row r="907" spans="5:9">
      <c r="E907" s="32"/>
      <c r="F907" s="32"/>
      <c r="G907" s="32"/>
      <c r="I907" s="32"/>
    </row>
    <row r="908" spans="5:9">
      <c r="E908" s="32"/>
      <c r="F908" s="32"/>
      <c r="G908" s="32"/>
      <c r="I908" s="32"/>
    </row>
    <row r="909" spans="5:9">
      <c r="E909" s="32"/>
      <c r="F909" s="32"/>
      <c r="G909" s="32"/>
      <c r="I909" s="32"/>
    </row>
    <row r="910" spans="5:9">
      <c r="E910" s="32"/>
      <c r="F910" s="32"/>
      <c r="G910" s="32"/>
      <c r="I910" s="32"/>
    </row>
    <row r="911" spans="5:9">
      <c r="E911" s="32"/>
      <c r="F911" s="32"/>
      <c r="G911" s="32"/>
      <c r="I911" s="32"/>
    </row>
    <row r="912" spans="5:9">
      <c r="E912" s="32"/>
      <c r="F912" s="32"/>
      <c r="G912" s="32"/>
      <c r="I912" s="32"/>
    </row>
    <row r="913" spans="5:9">
      <c r="E913" s="32"/>
      <c r="F913" s="32"/>
      <c r="G913" s="32"/>
      <c r="I913" s="32"/>
    </row>
    <row r="914" spans="5:9">
      <c r="E914" s="32"/>
      <c r="F914" s="32"/>
      <c r="G914" s="32"/>
      <c r="I914" s="32"/>
    </row>
    <row r="915" spans="5:9">
      <c r="E915" s="32"/>
      <c r="F915" s="32"/>
      <c r="G915" s="32"/>
      <c r="I915" s="32"/>
    </row>
    <row r="916" spans="5:9">
      <c r="E916" s="32"/>
      <c r="F916" s="32"/>
      <c r="G916" s="32"/>
      <c r="I916" s="32"/>
    </row>
    <row r="917" spans="5:9">
      <c r="E917" s="32"/>
      <c r="F917" s="32"/>
      <c r="G917" s="32"/>
      <c r="I917" s="32"/>
    </row>
    <row r="918" spans="5:9">
      <c r="E918" s="32"/>
      <c r="F918" s="32"/>
      <c r="G918" s="32"/>
      <c r="I918" s="32"/>
    </row>
    <row r="919" spans="5:9">
      <c r="E919" s="32"/>
      <c r="F919" s="32"/>
      <c r="G919" s="32"/>
      <c r="I919" s="32"/>
    </row>
    <row r="920" spans="5:9">
      <c r="E920" s="32"/>
      <c r="F920" s="32"/>
      <c r="G920" s="32"/>
      <c r="I920" s="32"/>
    </row>
    <row r="921" spans="5:9">
      <c r="E921" s="32"/>
      <c r="F921" s="32"/>
      <c r="G921" s="32"/>
      <c r="I921" s="32"/>
    </row>
    <row r="922" spans="5:9">
      <c r="E922" s="32"/>
      <c r="F922" s="32"/>
      <c r="G922" s="32"/>
      <c r="I922" s="32"/>
    </row>
    <row r="923" spans="5:9">
      <c r="E923" s="32"/>
      <c r="F923" s="32"/>
      <c r="G923" s="32"/>
      <c r="I923" s="32"/>
    </row>
    <row r="924" spans="5:9">
      <c r="E924" s="32"/>
      <c r="F924" s="32"/>
      <c r="G924" s="32"/>
      <c r="I924" s="32"/>
    </row>
    <row r="925" spans="5:9">
      <c r="E925" s="32"/>
      <c r="F925" s="32"/>
      <c r="G925" s="32"/>
      <c r="I925" s="32"/>
    </row>
    <row r="926" spans="5:9">
      <c r="E926" s="32"/>
      <c r="F926" s="32"/>
      <c r="G926" s="32"/>
      <c r="I926" s="32"/>
    </row>
    <row r="927" spans="5:9">
      <c r="E927" s="32"/>
      <c r="F927" s="32"/>
      <c r="G927" s="32"/>
      <c r="I927" s="32"/>
    </row>
    <row r="928" spans="5:9">
      <c r="E928" s="32"/>
      <c r="F928" s="32"/>
      <c r="G928" s="32"/>
      <c r="I928" s="32"/>
    </row>
    <row r="929" spans="5:9">
      <c r="E929" s="32"/>
      <c r="F929" s="32"/>
      <c r="G929" s="32"/>
      <c r="I929" s="32"/>
    </row>
    <row r="930" spans="5:9">
      <c r="E930" s="32"/>
      <c r="F930" s="32"/>
      <c r="G930" s="32"/>
      <c r="I930" s="32"/>
    </row>
    <row r="931" spans="5:9">
      <c r="E931" s="32"/>
      <c r="F931" s="32"/>
      <c r="G931" s="32"/>
      <c r="I931" s="32"/>
    </row>
    <row r="932" spans="5:9">
      <c r="E932" s="32"/>
      <c r="F932" s="32"/>
      <c r="G932" s="32"/>
      <c r="I932" s="32"/>
    </row>
    <row r="933" spans="5:9">
      <c r="E933" s="32"/>
      <c r="F933" s="32"/>
      <c r="G933" s="32"/>
      <c r="I933" s="32"/>
    </row>
    <row r="934" spans="5:9">
      <c r="E934" s="32"/>
      <c r="F934" s="32"/>
      <c r="G934" s="32"/>
      <c r="I934" s="32"/>
    </row>
    <row r="935" spans="5:9">
      <c r="E935" s="32"/>
      <c r="F935" s="32"/>
      <c r="G935" s="32"/>
      <c r="I935" s="32"/>
    </row>
    <row r="936" spans="5:9">
      <c r="E936" s="32"/>
      <c r="F936" s="32"/>
      <c r="G936" s="32"/>
      <c r="I936" s="32"/>
    </row>
    <row r="937" spans="5:9">
      <c r="E937" s="32"/>
      <c r="F937" s="32"/>
      <c r="G937" s="32"/>
      <c r="I937" s="32"/>
    </row>
    <row r="938" spans="5:9">
      <c r="E938" s="32"/>
      <c r="F938" s="32"/>
      <c r="G938" s="32"/>
      <c r="I938" s="32"/>
    </row>
    <row r="939" spans="5:9">
      <c r="E939" s="32"/>
      <c r="F939" s="32"/>
      <c r="G939" s="32"/>
      <c r="I939" s="32"/>
    </row>
    <row r="940" spans="5:9">
      <c r="E940" s="32"/>
      <c r="F940" s="32"/>
      <c r="G940" s="32"/>
      <c r="I940" s="32"/>
    </row>
    <row r="941" spans="5:9">
      <c r="E941" s="32"/>
      <c r="F941" s="32"/>
      <c r="G941" s="32"/>
      <c r="I941" s="32"/>
    </row>
    <row r="942" spans="5:9">
      <c r="E942" s="32"/>
      <c r="F942" s="32"/>
      <c r="G942" s="32"/>
      <c r="I942" s="32"/>
    </row>
    <row r="943" spans="5:9">
      <c r="E943" s="32"/>
      <c r="F943" s="32"/>
      <c r="G943" s="32"/>
      <c r="I943" s="32"/>
    </row>
    <row r="944" spans="5:9">
      <c r="E944" s="32"/>
      <c r="F944" s="32"/>
      <c r="G944" s="32"/>
      <c r="I944" s="32"/>
    </row>
    <row r="945" spans="5:9">
      <c r="E945" s="32"/>
      <c r="F945" s="32"/>
      <c r="G945" s="32"/>
      <c r="I945" s="32"/>
    </row>
    <row r="946" spans="5:9">
      <c r="E946" s="32"/>
      <c r="F946" s="32"/>
      <c r="G946" s="32"/>
      <c r="I946" s="32"/>
    </row>
    <row r="947" spans="5:9">
      <c r="E947" s="32"/>
      <c r="F947" s="32"/>
      <c r="G947" s="32"/>
      <c r="I947" s="32"/>
    </row>
    <row r="948" spans="5:9">
      <c r="E948" s="32"/>
      <c r="F948" s="32"/>
      <c r="G948" s="32"/>
      <c r="I948" s="32"/>
    </row>
    <row r="949" spans="5:9">
      <c r="E949" s="32"/>
      <c r="F949" s="32"/>
      <c r="G949" s="32"/>
      <c r="I949" s="32"/>
    </row>
    <row r="950" spans="5:9">
      <c r="E950" s="32"/>
      <c r="F950" s="32"/>
      <c r="G950" s="32"/>
      <c r="I950" s="32"/>
    </row>
    <row r="951" spans="5:9">
      <c r="E951" s="32"/>
      <c r="F951" s="32"/>
      <c r="G951" s="32"/>
      <c r="I951" s="32"/>
    </row>
    <row r="952" spans="5:9">
      <c r="E952" s="32"/>
      <c r="F952" s="32"/>
      <c r="G952" s="32"/>
      <c r="I952" s="32"/>
    </row>
    <row r="953" spans="5:9">
      <c r="E953" s="32"/>
      <c r="F953" s="32"/>
      <c r="G953" s="32"/>
      <c r="I953" s="32"/>
    </row>
    <row r="954" spans="5:9">
      <c r="E954" s="32"/>
      <c r="F954" s="32"/>
      <c r="G954" s="32"/>
      <c r="I954" s="32"/>
    </row>
    <row r="955" spans="5:9">
      <c r="E955" s="32"/>
      <c r="F955" s="32"/>
      <c r="G955" s="32"/>
      <c r="I955" s="32"/>
    </row>
    <row r="956" spans="5:9">
      <c r="E956" s="32"/>
      <c r="F956" s="32"/>
      <c r="G956" s="32"/>
      <c r="I956" s="32"/>
    </row>
    <row r="957" spans="5:9">
      <c r="E957" s="32"/>
      <c r="F957" s="32"/>
      <c r="G957" s="32"/>
      <c r="I957" s="32"/>
    </row>
    <row r="958" spans="5:9">
      <c r="E958" s="32"/>
      <c r="F958" s="32"/>
      <c r="G958" s="32"/>
      <c r="I958" s="32"/>
    </row>
    <row r="959" spans="5:9">
      <c r="E959" s="32"/>
      <c r="F959" s="32"/>
      <c r="G959" s="32"/>
      <c r="I959" s="32"/>
    </row>
    <row r="960" spans="5:9">
      <c r="E960" s="32"/>
      <c r="F960" s="32"/>
      <c r="G960" s="32"/>
      <c r="I960" s="32"/>
    </row>
    <row r="961" spans="5:9">
      <c r="E961" s="32"/>
      <c r="F961" s="32"/>
      <c r="G961" s="32"/>
      <c r="I961" s="32"/>
    </row>
    <row r="962" spans="5:9">
      <c r="E962" s="32"/>
      <c r="F962" s="32"/>
      <c r="G962" s="32"/>
      <c r="I962" s="32"/>
    </row>
    <row r="963" spans="5:9">
      <c r="E963" s="32"/>
      <c r="F963" s="32"/>
      <c r="G963" s="32"/>
      <c r="I963" s="32"/>
    </row>
    <row r="964" spans="5:9">
      <c r="E964" s="32"/>
      <c r="F964" s="32"/>
      <c r="G964" s="32"/>
      <c r="I964" s="32"/>
    </row>
    <row r="965" spans="5:9">
      <c r="E965" s="32"/>
      <c r="F965" s="32"/>
      <c r="G965" s="32"/>
      <c r="I965" s="32"/>
    </row>
    <row r="966" spans="5:9">
      <c r="E966" s="32"/>
      <c r="F966" s="32"/>
      <c r="G966" s="32"/>
      <c r="I966" s="32"/>
    </row>
    <row r="967" spans="5:9">
      <c r="E967" s="32"/>
      <c r="F967" s="32"/>
      <c r="G967" s="32"/>
      <c r="I967" s="32"/>
    </row>
    <row r="968" spans="5:9">
      <c r="E968" s="32"/>
      <c r="F968" s="32"/>
      <c r="G968" s="32"/>
      <c r="I968" s="32"/>
    </row>
    <row r="969" spans="5:9">
      <c r="E969" s="32"/>
      <c r="F969" s="32"/>
      <c r="G969" s="32"/>
      <c r="I969" s="32"/>
    </row>
    <row r="970" spans="5:9">
      <c r="E970" s="32"/>
      <c r="F970" s="32"/>
      <c r="G970" s="32"/>
      <c r="I970" s="32"/>
    </row>
    <row r="971" spans="5:9">
      <c r="E971" s="32"/>
      <c r="F971" s="32"/>
      <c r="G971" s="32"/>
      <c r="I971" s="32"/>
    </row>
    <row r="972" spans="5:9">
      <c r="E972" s="32"/>
      <c r="F972" s="32"/>
      <c r="G972" s="32"/>
      <c r="I972" s="32"/>
    </row>
    <row r="973" spans="5:9">
      <c r="E973" s="32"/>
      <c r="F973" s="32"/>
      <c r="G973" s="32"/>
      <c r="I973" s="32"/>
    </row>
    <row r="974" spans="5:9">
      <c r="E974" s="32"/>
      <c r="F974" s="32"/>
      <c r="G974" s="32"/>
      <c r="I974" s="32"/>
    </row>
    <row r="975" spans="5:9">
      <c r="E975" s="32"/>
      <c r="F975" s="32"/>
      <c r="G975" s="32"/>
      <c r="I975" s="32"/>
    </row>
    <row r="976" spans="5:9">
      <c r="E976" s="32"/>
      <c r="F976" s="32"/>
      <c r="G976" s="32"/>
      <c r="I976" s="32"/>
    </row>
    <row r="977" spans="5:9">
      <c r="E977" s="32"/>
      <c r="F977" s="32"/>
      <c r="G977" s="32"/>
      <c r="I977" s="32"/>
    </row>
    <row r="978" spans="5:9">
      <c r="E978" s="32"/>
      <c r="F978" s="32"/>
      <c r="G978" s="32"/>
      <c r="I978" s="32"/>
    </row>
    <row r="979" spans="5:9">
      <c r="E979" s="32"/>
      <c r="F979" s="32"/>
      <c r="G979" s="32"/>
      <c r="I979" s="32"/>
    </row>
    <row r="980" spans="5:9">
      <c r="E980" s="32"/>
      <c r="F980" s="32"/>
      <c r="G980" s="32"/>
      <c r="I980" s="32"/>
    </row>
    <row r="981" spans="5:9">
      <c r="E981" s="32"/>
      <c r="F981" s="32"/>
      <c r="G981" s="32"/>
      <c r="I981" s="32"/>
    </row>
    <row r="982" spans="5:9">
      <c r="E982" s="32"/>
      <c r="F982" s="32"/>
      <c r="G982" s="32"/>
      <c r="I982" s="32"/>
    </row>
    <row r="983" spans="5:9">
      <c r="E983" s="32"/>
      <c r="F983" s="32"/>
      <c r="G983" s="32"/>
      <c r="I983" s="32"/>
    </row>
    <row r="984" spans="5:9">
      <c r="E984" s="32"/>
      <c r="F984" s="32"/>
      <c r="G984" s="32"/>
      <c r="I984" s="32"/>
    </row>
    <row r="985" spans="5:9">
      <c r="E985" s="32"/>
      <c r="F985" s="32"/>
      <c r="G985" s="32"/>
      <c r="I985" s="32"/>
    </row>
    <row r="986" spans="5:9">
      <c r="E986" s="32"/>
      <c r="F986" s="32"/>
      <c r="G986" s="32"/>
      <c r="I986" s="32"/>
    </row>
    <row r="987" spans="5:9">
      <c r="E987" s="32"/>
      <c r="F987" s="32"/>
      <c r="G987" s="32"/>
      <c r="I987" s="32"/>
    </row>
    <row r="988" spans="5:9">
      <c r="E988" s="32"/>
      <c r="F988" s="32"/>
      <c r="G988" s="32"/>
      <c r="I988" s="32"/>
    </row>
    <row r="989" spans="5:9">
      <c r="E989" s="32"/>
      <c r="F989" s="32"/>
      <c r="G989" s="32"/>
      <c r="I989" s="32"/>
    </row>
    <row r="990" spans="5:9">
      <c r="E990" s="32"/>
      <c r="F990" s="32"/>
      <c r="G990" s="32"/>
      <c r="I990" s="32"/>
    </row>
    <row r="991" spans="5:9">
      <c r="E991" s="32"/>
      <c r="F991" s="32"/>
      <c r="G991" s="32"/>
      <c r="I991" s="32"/>
    </row>
    <row r="992" spans="5:9">
      <c r="E992" s="32"/>
      <c r="F992" s="32"/>
      <c r="G992" s="32"/>
      <c r="I992" s="32"/>
    </row>
    <row r="993" spans="5:9">
      <c r="E993" s="32"/>
      <c r="F993" s="32"/>
      <c r="G993" s="32"/>
      <c r="I993" s="32"/>
    </row>
    <row r="994" spans="5:9">
      <c r="E994" s="32"/>
      <c r="F994" s="32"/>
      <c r="G994" s="32"/>
      <c r="I994" s="32"/>
    </row>
    <row r="995" spans="5:9">
      <c r="E995" s="32"/>
      <c r="F995" s="32"/>
      <c r="G995" s="32"/>
      <c r="I995" s="32"/>
    </row>
    <row r="996" spans="5:9">
      <c r="E996" s="32"/>
      <c r="F996" s="32"/>
      <c r="G996" s="32"/>
      <c r="I996" s="32"/>
    </row>
    <row r="997" spans="5:9">
      <c r="E997" s="32"/>
      <c r="F997" s="32"/>
      <c r="G997" s="32"/>
      <c r="I997" s="32"/>
    </row>
    <row r="998" spans="5:9">
      <c r="E998" s="32"/>
      <c r="F998" s="32"/>
      <c r="G998" s="32"/>
      <c r="I998" s="32"/>
    </row>
    <row r="999" spans="5:9">
      <c r="E999" s="32"/>
      <c r="F999" s="32"/>
      <c r="G999" s="32"/>
      <c r="I999" s="32"/>
    </row>
    <row r="1000" spans="5:9">
      <c r="E1000" s="32"/>
      <c r="F1000" s="32"/>
      <c r="G1000" s="32"/>
      <c r="I1000" s="32"/>
    </row>
  </sheetData>
  <autoFilter ref="A8:K13">
    <extLst/>
  </autoFilter>
  <mergeCells count="11">
    <mergeCell ref="A1:K1"/>
    <mergeCell ref="B2:K2"/>
    <mergeCell ref="B3:K3"/>
    <mergeCell ref="B4:K4"/>
    <mergeCell ref="B5:E5"/>
    <mergeCell ref="G5:K5"/>
    <mergeCell ref="B6:E6"/>
    <mergeCell ref="G6:K6"/>
    <mergeCell ref="C7:K7"/>
    <mergeCell ref="A7:A8"/>
    <mergeCell ref="B7:B8"/>
  </mergeCells>
  <dataValidations count="1">
    <dataValidation type="list" allowBlank="1" showInputMessage="1" showErrorMessage="1" sqref="A1:K1">
      <formula1>委托单位信息!$B$3:$B$159</formula1>
    </dataValidation>
  </dataValidations>
  <pageMargins left="0.75" right="0.75" top="1" bottom="1" header="0.5" footer="0.5"/>
  <pageSetup paperSize="9" orientation="portrait"/>
  <headerFooter/>
  <drawing r:id="rId1"/>
  <legacyDrawing r:id="rId2"/>
  <controls>
    <mc:AlternateContent xmlns:mc="http://schemas.openxmlformats.org/markup-compatibility/2006">
      <mc:Choice Requires="x14">
        <control shapeId="2049" r:id="rId3" name="CommandButton1">
          <controlPr defaultSize="0" r:id="rId4">
            <anchor moveWithCells="1">
              <from>
                <xdr:col>11</xdr:col>
                <xdr:colOff>19050</xdr:colOff>
                <xdr:row>2</xdr:row>
                <xdr:rowOff>38100</xdr:rowOff>
              </from>
              <to>
                <xdr:col>12</xdr:col>
                <xdr:colOff>856615</xdr:colOff>
                <xdr:row>3</xdr:row>
                <xdr:rowOff>218440</xdr:rowOff>
              </to>
            </anchor>
          </controlPr>
        </control>
      </mc:Choice>
      <mc:Fallback>
        <control shapeId="2049" r:id="rId3" name="CommandButton1"/>
      </mc:Fallback>
    </mc:AlternateContent>
    <mc:AlternateContent xmlns:mc="http://schemas.openxmlformats.org/markup-compatibility/2006">
      <mc:Choice Requires="x14">
        <control shapeId="2050" r:id="rId5" name="CommandButton2">
          <controlPr defaultSize="0" r:id="rId6">
            <anchor moveWithCells="1">
              <from>
                <xdr:col>11</xdr:col>
                <xdr:colOff>0</xdr:colOff>
                <xdr:row>3</xdr:row>
                <xdr:rowOff>285750</xdr:rowOff>
              </from>
              <to>
                <xdr:col>12</xdr:col>
                <xdr:colOff>837565</xdr:colOff>
                <xdr:row>5</xdr:row>
                <xdr:rowOff>151765</xdr:rowOff>
              </to>
            </anchor>
          </controlPr>
        </control>
      </mc:Choice>
      <mc:Fallback>
        <control shapeId="2050" r:id="rId5"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R25"/>
  <sheetViews>
    <sheetView view="pageBreakPreview" zoomScaleNormal="145" workbookViewId="0">
      <selection activeCell="G18" sqref="G18:I18"/>
    </sheetView>
  </sheetViews>
  <sheetFormatPr defaultColWidth="9" defaultRowHeight="14.25"/>
  <cols>
    <col min="2" max="2" width="5.125" customWidth="1"/>
    <col min="4" max="4" width="5.25" customWidth="1"/>
    <col min="6" max="6" width="7.375" customWidth="1"/>
    <col min="7" max="7" width="3.75" customWidth="1"/>
    <col min="8" max="8" width="10.75" customWidth="1"/>
    <col min="9" max="9" width="4.125" customWidth="1"/>
    <col min="10" max="10" width="17.125" customWidth="1"/>
    <col min="11" max="11" width="0.125" customWidth="1"/>
    <col min="13" max="14" width="12.625"/>
  </cols>
  <sheetData>
    <row r="1" spans="1:11">
      <c r="A1" s="1" t="s">
        <v>64</v>
      </c>
      <c r="B1" s="2"/>
      <c r="C1" s="3"/>
      <c r="D1" s="3"/>
      <c r="E1" s="4"/>
      <c r="G1" s="5" t="s">
        <v>65</v>
      </c>
      <c r="H1" s="5"/>
      <c r="I1" s="5"/>
      <c r="J1" s="5"/>
      <c r="K1" s="5"/>
    </row>
    <row r="2" spans="1:13">
      <c r="A2" s="1"/>
      <c r="B2" s="2"/>
      <c r="C2" s="3"/>
      <c r="D2" s="3"/>
      <c r="E2" s="4"/>
      <c r="F2" s="6"/>
      <c r="G2" s="7" t="s">
        <v>66</v>
      </c>
      <c r="H2" s="7"/>
      <c r="I2" s="7"/>
      <c r="J2" s="7"/>
      <c r="K2" s="7"/>
      <c r="L2" s="28"/>
      <c r="M2" s="28"/>
    </row>
    <row r="3" spans="1:11">
      <c r="A3" s="8"/>
      <c r="B3" s="8"/>
      <c r="C3" s="8"/>
      <c r="D3" s="8"/>
      <c r="E3" s="8"/>
      <c r="F3" s="8"/>
      <c r="G3" s="9" t="s">
        <v>67</v>
      </c>
      <c r="H3" s="9"/>
      <c r="I3" s="9"/>
      <c r="J3" s="9"/>
      <c r="K3" s="9"/>
    </row>
    <row r="4" spans="1:11">
      <c r="A4" s="10"/>
      <c r="B4" s="10"/>
      <c r="C4" s="10"/>
      <c r="D4" s="10"/>
      <c r="E4" s="10"/>
      <c r="F4" s="10"/>
      <c r="G4" s="10"/>
      <c r="H4" s="10"/>
      <c r="I4" s="10"/>
      <c r="J4" s="10"/>
      <c r="K4" s="10"/>
    </row>
    <row r="5" ht="37" customHeight="1" spans="1:11">
      <c r="A5" s="11" t="s">
        <v>68</v>
      </c>
      <c r="B5" s="11"/>
      <c r="C5" s="11"/>
      <c r="D5" s="11"/>
      <c r="E5" s="11"/>
      <c r="F5" s="11"/>
      <c r="G5" s="11"/>
      <c r="H5" s="11"/>
      <c r="I5" s="11"/>
      <c r="J5" s="11"/>
      <c r="K5" s="11"/>
    </row>
    <row r="6" ht="12" customHeight="1" spans="1:11">
      <c r="A6" s="12"/>
      <c r="B6" s="12"/>
      <c r="C6" s="12"/>
      <c r="D6" s="12"/>
      <c r="E6" s="12"/>
      <c r="F6" s="12"/>
      <c r="G6" s="12"/>
      <c r="H6" s="12"/>
      <c r="I6" s="12"/>
      <c r="J6" s="12"/>
      <c r="K6" s="12"/>
    </row>
    <row r="7" ht="30" customHeight="1" spans="1:11">
      <c r="A7" s="13" t="s">
        <v>2</v>
      </c>
      <c r="B7" s="13"/>
      <c r="C7" s="14" t="s">
        <v>13</v>
      </c>
      <c r="D7" s="14"/>
      <c r="E7" s="14"/>
      <c r="F7" s="14"/>
      <c r="G7" s="14"/>
      <c r="H7" s="14"/>
      <c r="I7" s="14"/>
      <c r="J7" s="14"/>
      <c r="K7" s="14"/>
    </row>
    <row r="8" ht="30" customHeight="1" spans="1:11">
      <c r="A8" s="13" t="s">
        <v>3</v>
      </c>
      <c r="B8" s="13"/>
      <c r="C8" s="15"/>
      <c r="D8" s="15"/>
      <c r="E8" s="15"/>
      <c r="F8" s="15"/>
      <c r="G8" s="15"/>
      <c r="H8" s="13" t="s">
        <v>10</v>
      </c>
      <c r="I8" s="13"/>
      <c r="J8" s="13"/>
      <c r="K8" s="13"/>
    </row>
    <row r="9" ht="30" customHeight="1" spans="1:11">
      <c r="A9" s="13" t="s">
        <v>5</v>
      </c>
      <c r="B9" s="13"/>
      <c r="C9" s="15"/>
      <c r="D9" s="15"/>
      <c r="E9" s="15"/>
      <c r="F9" s="15"/>
      <c r="G9" s="15"/>
      <c r="H9" s="16" t="s">
        <v>69</v>
      </c>
      <c r="I9" s="13"/>
      <c r="J9" s="13"/>
      <c r="K9" s="13"/>
    </row>
    <row r="10" ht="30" customHeight="1" spans="1:11">
      <c r="A10" s="13" t="s">
        <v>4</v>
      </c>
      <c r="B10" s="13"/>
      <c r="C10" s="15"/>
      <c r="D10" s="15"/>
      <c r="E10" s="15"/>
      <c r="F10" s="15"/>
      <c r="G10" s="15"/>
      <c r="H10" s="13" t="s">
        <v>70</v>
      </c>
      <c r="I10" s="13" t="s">
        <v>71</v>
      </c>
      <c r="J10" s="13"/>
      <c r="K10" s="13"/>
    </row>
    <row r="11" ht="30" customHeight="1" spans="1:11">
      <c r="A11" s="13" t="s">
        <v>47</v>
      </c>
      <c r="B11" s="13"/>
      <c r="C11" s="15"/>
      <c r="D11" s="15"/>
      <c r="E11" s="15"/>
      <c r="F11" s="15"/>
      <c r="G11" s="15"/>
      <c r="H11" s="13" t="s">
        <v>46</v>
      </c>
      <c r="I11" s="13" t="s">
        <v>72</v>
      </c>
      <c r="J11" s="13"/>
      <c r="K11" s="13"/>
    </row>
    <row r="12" ht="30" customHeight="1" spans="1:11">
      <c r="A12" s="13" t="s">
        <v>73</v>
      </c>
      <c r="B12" s="13"/>
      <c r="C12" s="15" t="s">
        <v>74</v>
      </c>
      <c r="D12" s="15"/>
      <c r="E12" s="15"/>
      <c r="F12" s="15"/>
      <c r="G12" s="15"/>
      <c r="H12" s="13" t="s">
        <v>50</v>
      </c>
      <c r="I12" s="29"/>
      <c r="J12" s="29"/>
      <c r="K12" s="13"/>
    </row>
    <row r="13" ht="30" customHeight="1" spans="1:11">
      <c r="A13" s="13" t="s">
        <v>44</v>
      </c>
      <c r="B13" s="13"/>
      <c r="C13" s="15"/>
      <c r="D13" s="15"/>
      <c r="E13" s="15"/>
      <c r="F13" s="15"/>
      <c r="G13" s="15"/>
      <c r="H13" s="13" t="s">
        <v>61</v>
      </c>
      <c r="I13" s="29"/>
      <c r="J13" s="29"/>
      <c r="K13" s="13"/>
    </row>
    <row r="14" ht="30" customHeight="1" spans="1:11">
      <c r="A14" s="13" t="s">
        <v>75</v>
      </c>
      <c r="B14" s="13"/>
      <c r="C14" s="17"/>
      <c r="D14" s="17"/>
      <c r="E14" s="17"/>
      <c r="F14" s="17"/>
      <c r="G14" s="17"/>
      <c r="H14" s="13" t="s">
        <v>62</v>
      </c>
      <c r="I14" s="29"/>
      <c r="J14" s="29"/>
      <c r="K14" s="13"/>
    </row>
    <row r="15" ht="30" customHeight="1" spans="1:11">
      <c r="A15" s="13" t="s">
        <v>76</v>
      </c>
      <c r="B15" s="13"/>
      <c r="C15" s="14" t="s">
        <v>77</v>
      </c>
      <c r="D15" s="14"/>
      <c r="E15" s="14"/>
      <c r="F15" s="14"/>
      <c r="G15" s="14"/>
      <c r="H15" s="14"/>
      <c r="I15" s="14"/>
      <c r="J15" s="14"/>
      <c r="K15" s="14"/>
    </row>
    <row r="16" ht="30" customHeight="1" spans="1:11">
      <c r="A16" s="13" t="s">
        <v>78</v>
      </c>
      <c r="B16" s="13"/>
      <c r="C16" s="14" t="s">
        <v>79</v>
      </c>
      <c r="D16" s="14"/>
      <c r="E16" s="14"/>
      <c r="F16" s="14"/>
      <c r="G16" s="14"/>
      <c r="H16" s="14"/>
      <c r="I16" s="14"/>
      <c r="J16" s="14"/>
      <c r="K16" s="14"/>
    </row>
    <row r="17" ht="40" customHeight="1" spans="1:11">
      <c r="A17" s="16" t="s">
        <v>80</v>
      </c>
      <c r="B17" s="16"/>
      <c r="C17" s="13" t="s">
        <v>81</v>
      </c>
      <c r="D17" s="13"/>
      <c r="E17" s="13">
        <v>1</v>
      </c>
      <c r="F17" s="13"/>
      <c r="G17" s="13">
        <v>2</v>
      </c>
      <c r="H17" s="13"/>
      <c r="I17" s="13"/>
      <c r="J17" s="13">
        <v>3</v>
      </c>
      <c r="K17" s="13"/>
    </row>
    <row r="18" ht="40" customHeight="1" spans="1:11">
      <c r="A18" s="16"/>
      <c r="B18" s="16"/>
      <c r="C18" s="18" t="s">
        <v>82</v>
      </c>
      <c r="D18" s="18"/>
      <c r="E18" s="13">
        <v>436.9</v>
      </c>
      <c r="F18" s="13"/>
      <c r="G18" s="13">
        <v>464.3</v>
      </c>
      <c r="H18" s="13"/>
      <c r="I18" s="13"/>
      <c r="J18" s="13">
        <v>521.7</v>
      </c>
      <c r="K18" s="13"/>
    </row>
    <row r="19" ht="40" customHeight="1" spans="1:18">
      <c r="A19" s="16"/>
      <c r="B19" s="16"/>
      <c r="C19" s="18" t="s">
        <v>83</v>
      </c>
      <c r="D19" s="18"/>
      <c r="E19" s="13">
        <v>545</v>
      </c>
      <c r="F19" s="13"/>
      <c r="G19" s="13">
        <v>575</v>
      </c>
      <c r="H19" s="13"/>
      <c r="I19" s="13"/>
      <c r="J19" s="13">
        <v>650</v>
      </c>
      <c r="K19" s="13"/>
      <c r="M19" s="30"/>
      <c r="N19" s="30"/>
      <c r="O19" s="30"/>
      <c r="P19" s="30"/>
      <c r="Q19" s="30"/>
      <c r="R19" s="30"/>
    </row>
    <row r="20" ht="40" customHeight="1" spans="1:18">
      <c r="A20" s="16"/>
      <c r="B20" s="16"/>
      <c r="C20" s="13" t="s">
        <v>84</v>
      </c>
      <c r="D20" s="13"/>
      <c r="E20" s="13" t="s">
        <v>85</v>
      </c>
      <c r="F20" s="13"/>
      <c r="G20" s="13" t="s">
        <v>85</v>
      </c>
      <c r="H20" s="13"/>
      <c r="I20" s="13"/>
      <c r="J20" s="13" t="s">
        <v>85</v>
      </c>
      <c r="K20" s="13"/>
      <c r="M20" s="30"/>
      <c r="N20" s="30"/>
      <c r="O20" s="30"/>
      <c r="P20" s="30"/>
      <c r="Q20" s="30"/>
      <c r="R20" s="30"/>
    </row>
    <row r="21" ht="30" customHeight="1" spans="1:11">
      <c r="A21" s="19" t="s">
        <v>86</v>
      </c>
      <c r="B21" s="20" t="s">
        <v>87</v>
      </c>
      <c r="C21" s="20"/>
      <c r="D21" s="20"/>
      <c r="E21" s="20"/>
      <c r="F21" s="20"/>
      <c r="G21" s="20"/>
      <c r="H21" s="20"/>
      <c r="I21" s="20"/>
      <c r="J21" s="20"/>
      <c r="K21" s="20"/>
    </row>
    <row r="22" ht="30" customHeight="1" spans="1:11">
      <c r="A22" s="21" t="s">
        <v>88</v>
      </c>
      <c r="B22" s="14" t="s">
        <v>89</v>
      </c>
      <c r="C22" s="14"/>
      <c r="D22" s="14"/>
      <c r="E22" s="14"/>
      <c r="F22" s="14"/>
      <c r="G22" s="14"/>
      <c r="H22" s="14"/>
      <c r="I22" s="14"/>
      <c r="J22" s="14"/>
      <c r="K22" s="14"/>
    </row>
    <row r="23" ht="43" customHeight="1" spans="1:11">
      <c r="A23" s="22" t="s">
        <v>90</v>
      </c>
      <c r="B23" s="23" t="s">
        <v>91</v>
      </c>
      <c r="C23" s="24"/>
      <c r="D23" s="24"/>
      <c r="E23" s="24"/>
      <c r="F23" s="24"/>
      <c r="G23" s="24"/>
      <c r="H23" s="24"/>
      <c r="I23" s="24"/>
      <c r="J23" s="24"/>
      <c r="K23" s="24"/>
    </row>
    <row r="24" ht="13" customHeight="1" spans="1:11">
      <c r="A24" s="25"/>
      <c r="B24" s="26"/>
      <c r="C24" s="7"/>
      <c r="D24" s="7"/>
      <c r="E24" s="7"/>
      <c r="F24" s="7"/>
      <c r="G24" s="7"/>
      <c r="H24" s="7"/>
      <c r="I24" s="7"/>
      <c r="J24" s="7"/>
      <c r="K24" s="7"/>
    </row>
    <row r="25" ht="34" customHeight="1" spans="1:11">
      <c r="A25" s="27" t="s">
        <v>92</v>
      </c>
      <c r="B25" s="27"/>
      <c r="C25" s="27"/>
      <c r="D25" s="27" t="s">
        <v>93</v>
      </c>
      <c r="E25" s="27"/>
      <c r="F25" s="27"/>
      <c r="G25" s="27"/>
      <c r="H25" s="27" t="s">
        <v>94</v>
      </c>
      <c r="I25" s="27"/>
      <c r="J25" s="27"/>
      <c r="K25" s="27"/>
    </row>
  </sheetData>
  <mergeCells count="58">
    <mergeCell ref="G1:K1"/>
    <mergeCell ref="G2:K2"/>
    <mergeCell ref="A3:F3"/>
    <mergeCell ref="G3:K3"/>
    <mergeCell ref="A4:K4"/>
    <mergeCell ref="A5:K5"/>
    <mergeCell ref="A7:B7"/>
    <mergeCell ref="C7:K7"/>
    <mergeCell ref="A8:B8"/>
    <mergeCell ref="C8:G8"/>
    <mergeCell ref="I8:J8"/>
    <mergeCell ref="A9:B9"/>
    <mergeCell ref="C9:G9"/>
    <mergeCell ref="I9:J9"/>
    <mergeCell ref="A10:B10"/>
    <mergeCell ref="C10:G10"/>
    <mergeCell ref="I10:J10"/>
    <mergeCell ref="A11:B11"/>
    <mergeCell ref="C11:G11"/>
    <mergeCell ref="I11:J11"/>
    <mergeCell ref="A12:B12"/>
    <mergeCell ref="C12:G12"/>
    <mergeCell ref="I12:J12"/>
    <mergeCell ref="A13:B13"/>
    <mergeCell ref="C13:G13"/>
    <mergeCell ref="I13:J13"/>
    <mergeCell ref="A14:B14"/>
    <mergeCell ref="C14:G14"/>
    <mergeCell ref="I14:J14"/>
    <mergeCell ref="A15:B15"/>
    <mergeCell ref="C15:K15"/>
    <mergeCell ref="A16:B16"/>
    <mergeCell ref="C16:K16"/>
    <mergeCell ref="C17:D17"/>
    <mergeCell ref="E17:F17"/>
    <mergeCell ref="G17:I17"/>
    <mergeCell ref="J17:K17"/>
    <mergeCell ref="C18:D18"/>
    <mergeCell ref="E18:F18"/>
    <mergeCell ref="G18:I18"/>
    <mergeCell ref="J18:K18"/>
    <mergeCell ref="C19:D19"/>
    <mergeCell ref="E19:F19"/>
    <mergeCell ref="G19:I19"/>
    <mergeCell ref="J19:K19"/>
    <mergeCell ref="C20:D20"/>
    <mergeCell ref="E20:F20"/>
    <mergeCell ref="G20:I20"/>
    <mergeCell ref="J20:K20"/>
    <mergeCell ref="B21:K21"/>
    <mergeCell ref="B22:K22"/>
    <mergeCell ref="B23:K23"/>
    <mergeCell ref="A25:C25"/>
    <mergeCell ref="D25:G25"/>
    <mergeCell ref="H25:K25"/>
    <mergeCell ref="A17:B20"/>
    <mergeCell ref="A1:B2"/>
    <mergeCell ref="C1:E2"/>
  </mergeCells>
  <dataValidations count="1">
    <dataValidation type="list" allowBlank="1" showInputMessage="1" showErrorMessage="1" sqref="C7:K7">
      <formula1>委托单位信息!#REF!</formula1>
    </dataValidation>
  </dataValidations>
  <pageMargins left="0.75" right="0.75" top="0.354166666666667" bottom="0.747916666666667" header="0.354166666666667" footer="0.747916666666667"/>
  <pageSetup paperSize="9" orientation="portrait"/>
  <headerFooter alignWithMargins="0" scaleWithDoc="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R25"/>
  <sheetViews>
    <sheetView tabSelected="1" view="pageBreakPreview" zoomScaleNormal="145" workbookViewId="0">
      <selection activeCell="M17" sqref="M17"/>
    </sheetView>
  </sheetViews>
  <sheetFormatPr defaultColWidth="9" defaultRowHeight="14.25"/>
  <cols>
    <col min="2" max="2" width="5.125" customWidth="1"/>
    <col min="4" max="4" width="5.25" customWidth="1"/>
    <col min="6" max="6" width="7.375" customWidth="1"/>
    <col min="7" max="7" width="3.75" customWidth="1"/>
    <col min="8" max="8" width="10.75" customWidth="1"/>
    <col min="9" max="9" width="4.125" customWidth="1"/>
    <col min="10" max="10" width="17.125" customWidth="1"/>
    <col min="11" max="11" width="0.125" customWidth="1"/>
    <col min="13" max="14" width="12.625"/>
  </cols>
  <sheetData>
    <row r="1" spans="1:11">
      <c r="A1" s="1" t="s">
        <v>64</v>
      </c>
      <c r="B1" s="2"/>
      <c r="C1" s="3" t="s">
        <v>56</v>
      </c>
      <c r="D1" s="3"/>
      <c r="E1" s="4"/>
      <c r="G1" s="5" t="s">
        <v>65</v>
      </c>
      <c r="H1" s="5"/>
      <c r="I1" s="5"/>
      <c r="J1" s="5"/>
      <c r="K1" s="5"/>
    </row>
    <row r="2" spans="1:13">
      <c r="A2" s="1"/>
      <c r="B2" s="2"/>
      <c r="C2" s="3"/>
      <c r="D2" s="3"/>
      <c r="E2" s="4"/>
      <c r="F2" s="6"/>
      <c r="G2" s="7" t="s">
        <v>66</v>
      </c>
      <c r="H2" s="7"/>
      <c r="I2" s="7"/>
      <c r="J2" s="7"/>
      <c r="K2" s="7"/>
      <c r="L2" s="28"/>
      <c r="M2" s="28"/>
    </row>
    <row r="3" spans="1:11">
      <c r="A3" s="8"/>
      <c r="B3" s="8"/>
      <c r="C3" s="8"/>
      <c r="D3" s="8"/>
      <c r="E3" s="8"/>
      <c r="F3" s="8"/>
      <c r="G3" s="9" t="s">
        <v>67</v>
      </c>
      <c r="H3" s="9"/>
      <c r="I3" s="9"/>
      <c r="J3" s="9"/>
      <c r="K3" s="9"/>
    </row>
    <row r="4" spans="1:11">
      <c r="A4" s="10"/>
      <c r="B4" s="10"/>
      <c r="C4" s="10"/>
      <c r="D4" s="10"/>
      <c r="E4" s="10"/>
      <c r="F4" s="10"/>
      <c r="G4" s="10"/>
      <c r="H4" s="10"/>
      <c r="I4" s="10"/>
      <c r="J4" s="10"/>
      <c r="K4" s="10"/>
    </row>
    <row r="5" ht="37" customHeight="1" spans="1:11">
      <c r="A5" s="11" t="s">
        <v>68</v>
      </c>
      <c r="B5" s="11"/>
      <c r="C5" s="11"/>
      <c r="D5" s="11"/>
      <c r="E5" s="11"/>
      <c r="F5" s="11"/>
      <c r="G5" s="11"/>
      <c r="H5" s="11"/>
      <c r="I5" s="11"/>
      <c r="J5" s="11"/>
      <c r="K5" s="11"/>
    </row>
    <row r="6" ht="12" customHeight="1" spans="1:11">
      <c r="A6" s="12"/>
      <c r="B6" s="12"/>
      <c r="C6" s="12"/>
      <c r="D6" s="12"/>
      <c r="E6" s="12"/>
      <c r="F6" s="12"/>
      <c r="G6" s="12"/>
      <c r="H6" s="12"/>
      <c r="I6" s="12"/>
      <c r="J6" s="12"/>
      <c r="K6" s="12"/>
    </row>
    <row r="7" ht="30" customHeight="1" spans="1:11">
      <c r="A7" s="13" t="s">
        <v>2</v>
      </c>
      <c r="B7" s="13"/>
      <c r="C7" s="14" t="s">
        <v>38</v>
      </c>
      <c r="D7" s="14"/>
      <c r="E7" s="14"/>
      <c r="F7" s="14"/>
      <c r="G7" s="14"/>
      <c r="H7" s="14"/>
      <c r="I7" s="14"/>
      <c r="J7" s="14"/>
      <c r="K7" s="14"/>
    </row>
    <row r="8" ht="30" customHeight="1" spans="1:11">
      <c r="A8" s="13" t="s">
        <v>3</v>
      </c>
      <c r="B8" s="13"/>
      <c r="C8" s="15" t="s">
        <v>39</v>
      </c>
      <c r="D8" s="15"/>
      <c r="E8" s="15"/>
      <c r="F8" s="15"/>
      <c r="G8" s="15"/>
      <c r="H8" s="13" t="s">
        <v>10</v>
      </c>
      <c r="I8" s="13" t="s">
        <v>57</v>
      </c>
      <c r="J8" s="13"/>
      <c r="K8" s="13"/>
    </row>
    <row r="9" ht="30" customHeight="1" spans="1:11">
      <c r="A9" s="13" t="s">
        <v>5</v>
      </c>
      <c r="B9" s="13"/>
      <c r="C9" s="15" t="s">
        <v>39</v>
      </c>
      <c r="D9" s="15"/>
      <c r="E9" s="15"/>
      <c r="F9" s="15"/>
      <c r="G9" s="15"/>
      <c r="H9" s="16" t="s">
        <v>69</v>
      </c>
      <c r="I9" s="13" t="s">
        <v>40</v>
      </c>
      <c r="J9" s="13"/>
      <c r="K9" s="13"/>
    </row>
    <row r="10" ht="30" customHeight="1" spans="1:11">
      <c r="A10" s="13" t="s">
        <v>4</v>
      </c>
      <c r="B10" s="13"/>
      <c r="C10" s="15" t="s">
        <v>39</v>
      </c>
      <c r="D10" s="15"/>
      <c r="E10" s="15"/>
      <c r="F10" s="15"/>
      <c r="G10" s="15"/>
      <c r="H10" s="13" t="s">
        <v>70</v>
      </c>
      <c r="I10" s="13" t="s">
        <v>71</v>
      </c>
      <c r="J10" s="13"/>
      <c r="K10" s="13"/>
    </row>
    <row r="11" ht="30" customHeight="1" spans="1:11">
      <c r="A11" s="13" t="s">
        <v>47</v>
      </c>
      <c r="B11" s="13"/>
      <c r="C11" s="15" t="s">
        <v>55</v>
      </c>
      <c r="D11" s="15"/>
      <c r="E11" s="15"/>
      <c r="F11" s="15"/>
      <c r="G11" s="15"/>
      <c r="H11" s="13" t="s">
        <v>46</v>
      </c>
      <c r="I11" s="13" t="s">
        <v>52</v>
      </c>
      <c r="J11" s="13"/>
      <c r="K11" s="13"/>
    </row>
    <row r="12" ht="30" customHeight="1" spans="1:11">
      <c r="A12" s="13" t="s">
        <v>73</v>
      </c>
      <c r="B12" s="13"/>
      <c r="C12" s="15" t="s">
        <v>74</v>
      </c>
      <c r="D12" s="15"/>
      <c r="E12" s="15"/>
      <c r="F12" s="15"/>
      <c r="G12" s="15"/>
      <c r="H12" s="13" t="s">
        <v>50</v>
      </c>
      <c r="I12" s="29">
        <v>44466</v>
      </c>
      <c r="J12" s="29"/>
      <c r="K12" s="13"/>
    </row>
    <row r="13" ht="30" customHeight="1" spans="1:11">
      <c r="A13" s="13" t="s">
        <v>44</v>
      </c>
      <c r="B13" s="13"/>
      <c r="C13" s="15" t="s">
        <v>51</v>
      </c>
      <c r="D13" s="15"/>
      <c r="E13" s="15"/>
      <c r="F13" s="15"/>
      <c r="G13" s="15"/>
      <c r="H13" s="13" t="s">
        <v>61</v>
      </c>
      <c r="I13" s="29">
        <v>44467</v>
      </c>
      <c r="J13" s="29"/>
      <c r="K13" s="13"/>
    </row>
    <row r="14" ht="30" customHeight="1" spans="1:11">
      <c r="A14" s="13" t="s">
        <v>75</v>
      </c>
      <c r="B14" s="13"/>
      <c r="C14" s="17">
        <v>25</v>
      </c>
      <c r="D14" s="17"/>
      <c r="E14" s="17"/>
      <c r="F14" s="17"/>
      <c r="G14" s="17"/>
      <c r="H14" s="13" t="s">
        <v>62</v>
      </c>
      <c r="I14" s="29">
        <v>44469</v>
      </c>
      <c r="J14" s="29"/>
      <c r="K14" s="13"/>
    </row>
    <row r="15" ht="30" customHeight="1" spans="1:11">
      <c r="A15" s="13" t="s">
        <v>76</v>
      </c>
      <c r="B15" s="13"/>
      <c r="C15" s="14" t="s">
        <v>77</v>
      </c>
      <c r="D15" s="14"/>
      <c r="E15" s="14"/>
      <c r="F15" s="14"/>
      <c r="G15" s="14"/>
      <c r="H15" s="14"/>
      <c r="I15" s="14"/>
      <c r="J15" s="14"/>
      <c r="K15" s="14"/>
    </row>
    <row r="16" ht="30" customHeight="1" spans="1:11">
      <c r="A16" s="13" t="s">
        <v>78</v>
      </c>
      <c r="B16" s="13"/>
      <c r="C16" s="14" t="s">
        <v>79</v>
      </c>
      <c r="D16" s="14"/>
      <c r="E16" s="14"/>
      <c r="F16" s="14"/>
      <c r="G16" s="14"/>
      <c r="H16" s="14"/>
      <c r="I16" s="14"/>
      <c r="J16" s="14"/>
      <c r="K16" s="14"/>
    </row>
    <row r="17" ht="40" customHeight="1" spans="1:11">
      <c r="A17" s="16" t="s">
        <v>80</v>
      </c>
      <c r="B17" s="16"/>
      <c r="C17" s="13" t="s">
        <v>81</v>
      </c>
      <c r="D17" s="13"/>
      <c r="E17" s="13">
        <v>1</v>
      </c>
      <c r="F17" s="13"/>
      <c r="G17" s="13">
        <v>2</v>
      </c>
      <c r="H17" s="13"/>
      <c r="I17" s="13"/>
      <c r="J17" s="13">
        <v>3</v>
      </c>
      <c r="K17" s="13"/>
    </row>
    <row r="18" ht="40" customHeight="1" spans="1:11">
      <c r="A18" s="16"/>
      <c r="B18" s="16"/>
      <c r="C18" s="18" t="s">
        <v>82</v>
      </c>
      <c r="D18" s="18"/>
      <c r="E18" s="13">
        <v>299.8</v>
      </c>
      <c r="F18" s="13"/>
      <c r="G18" s="13">
        <v>295.4</v>
      </c>
      <c r="H18" s="13"/>
      <c r="I18" s="13"/>
      <c r="J18" s="13">
        <v>303</v>
      </c>
      <c r="K18" s="13"/>
    </row>
    <row r="19" ht="40" customHeight="1" spans="1:18">
      <c r="A19" s="16"/>
      <c r="B19" s="16"/>
      <c r="C19" s="18" t="s">
        <v>83</v>
      </c>
      <c r="D19" s="18"/>
      <c r="E19" s="13">
        <v>610</v>
      </c>
      <c r="F19" s="13"/>
      <c r="G19" s="13">
        <v>600</v>
      </c>
      <c r="H19" s="13"/>
      <c r="I19" s="13"/>
      <c r="J19" s="13">
        <v>620</v>
      </c>
      <c r="K19" s="13"/>
      <c r="M19" s="30"/>
      <c r="N19" s="30"/>
      <c r="O19" s="30"/>
      <c r="P19" s="30"/>
      <c r="Q19" s="30"/>
      <c r="R19" s="30"/>
    </row>
    <row r="20" ht="40" customHeight="1" spans="1:18">
      <c r="A20" s="16"/>
      <c r="B20" s="16"/>
      <c r="C20" s="13" t="s">
        <v>84</v>
      </c>
      <c r="D20" s="13"/>
      <c r="E20" s="13" t="s">
        <v>85</v>
      </c>
      <c r="F20" s="13"/>
      <c r="G20" s="13" t="s">
        <v>85</v>
      </c>
      <c r="H20" s="13"/>
      <c r="I20" s="13"/>
      <c r="J20" s="13" t="s">
        <v>85</v>
      </c>
      <c r="K20" s="13"/>
      <c r="M20" s="30"/>
      <c r="N20" s="30"/>
      <c r="O20" s="30"/>
      <c r="P20" s="30"/>
      <c r="Q20" s="30"/>
      <c r="R20" s="30"/>
    </row>
    <row r="21" ht="30" customHeight="1" spans="1:11">
      <c r="A21" s="19" t="s">
        <v>86</v>
      </c>
      <c r="B21" s="20" t="s">
        <v>87</v>
      </c>
      <c r="C21" s="20"/>
      <c r="D21" s="20"/>
      <c r="E21" s="20"/>
      <c r="F21" s="20"/>
      <c r="G21" s="20"/>
      <c r="H21" s="20"/>
      <c r="I21" s="20"/>
      <c r="J21" s="20"/>
      <c r="K21" s="20"/>
    </row>
    <row r="22" ht="30" customHeight="1" spans="1:11">
      <c r="A22" s="21" t="s">
        <v>88</v>
      </c>
      <c r="B22" s="14" t="s">
        <v>89</v>
      </c>
      <c r="C22" s="14"/>
      <c r="D22" s="14"/>
      <c r="E22" s="14"/>
      <c r="F22" s="14"/>
      <c r="G22" s="14"/>
      <c r="H22" s="14"/>
      <c r="I22" s="14"/>
      <c r="J22" s="14"/>
      <c r="K22" s="14"/>
    </row>
    <row r="23" ht="43" customHeight="1" spans="1:11">
      <c r="A23" s="22" t="s">
        <v>90</v>
      </c>
      <c r="B23" s="23" t="s">
        <v>91</v>
      </c>
      <c r="C23" s="24"/>
      <c r="D23" s="24"/>
      <c r="E23" s="24"/>
      <c r="F23" s="24"/>
      <c r="G23" s="24"/>
      <c r="H23" s="24"/>
      <c r="I23" s="24"/>
      <c r="J23" s="24"/>
      <c r="K23" s="24"/>
    </row>
    <row r="24" ht="13" customHeight="1" spans="1:11">
      <c r="A24" s="25"/>
      <c r="B24" s="26"/>
      <c r="C24" s="7"/>
      <c r="D24" s="7"/>
      <c r="E24" s="7"/>
      <c r="F24" s="7"/>
      <c r="G24" s="7"/>
      <c r="H24" s="7"/>
      <c r="I24" s="7"/>
      <c r="J24" s="7"/>
      <c r="K24" s="7"/>
    </row>
    <row r="25" ht="34" customHeight="1" spans="1:11">
      <c r="A25" s="27" t="s">
        <v>92</v>
      </c>
      <c r="B25" s="27"/>
      <c r="C25" s="27"/>
      <c r="D25" s="27" t="s">
        <v>93</v>
      </c>
      <c r="E25" s="27"/>
      <c r="F25" s="27"/>
      <c r="G25" s="27"/>
      <c r="H25" s="27" t="s">
        <v>94</v>
      </c>
      <c r="I25" s="27"/>
      <c r="J25" s="27"/>
      <c r="K25" s="27"/>
    </row>
  </sheetData>
  <mergeCells count="58">
    <mergeCell ref="G1:K1"/>
    <mergeCell ref="G2:K2"/>
    <mergeCell ref="A3:F3"/>
    <mergeCell ref="G3:K3"/>
    <mergeCell ref="A4:K4"/>
    <mergeCell ref="A5:K5"/>
    <mergeCell ref="A7:B7"/>
    <mergeCell ref="C7:K7"/>
    <mergeCell ref="A8:B8"/>
    <mergeCell ref="C8:G8"/>
    <mergeCell ref="I8:J8"/>
    <mergeCell ref="A9:B9"/>
    <mergeCell ref="C9:G9"/>
    <mergeCell ref="I9:J9"/>
    <mergeCell ref="A10:B10"/>
    <mergeCell ref="C10:G10"/>
    <mergeCell ref="I10:J10"/>
    <mergeCell ref="A11:B11"/>
    <mergeCell ref="C11:G11"/>
    <mergeCell ref="I11:J11"/>
    <mergeCell ref="A12:B12"/>
    <mergeCell ref="C12:G12"/>
    <mergeCell ref="I12:J12"/>
    <mergeCell ref="A13:B13"/>
    <mergeCell ref="C13:G13"/>
    <mergeCell ref="I13:J13"/>
    <mergeCell ref="A14:B14"/>
    <mergeCell ref="C14:G14"/>
    <mergeCell ref="I14:J14"/>
    <mergeCell ref="A15:B15"/>
    <mergeCell ref="C15:K15"/>
    <mergeCell ref="A16:B16"/>
    <mergeCell ref="C16:K16"/>
    <mergeCell ref="C17:D17"/>
    <mergeCell ref="E17:F17"/>
    <mergeCell ref="G17:I17"/>
    <mergeCell ref="J17:K17"/>
    <mergeCell ref="C18:D18"/>
    <mergeCell ref="E18:F18"/>
    <mergeCell ref="G18:I18"/>
    <mergeCell ref="J18:K18"/>
    <mergeCell ref="C19:D19"/>
    <mergeCell ref="E19:F19"/>
    <mergeCell ref="G19:I19"/>
    <mergeCell ref="J19:K19"/>
    <mergeCell ref="C20:D20"/>
    <mergeCell ref="E20:F20"/>
    <mergeCell ref="G20:I20"/>
    <mergeCell ref="J20:K20"/>
    <mergeCell ref="B21:K21"/>
    <mergeCell ref="B22:K22"/>
    <mergeCell ref="B23:K23"/>
    <mergeCell ref="A25:C25"/>
    <mergeCell ref="D25:G25"/>
    <mergeCell ref="H25:K25"/>
    <mergeCell ref="A1:B2"/>
    <mergeCell ref="C1:E2"/>
    <mergeCell ref="A17:B20"/>
  </mergeCells>
  <dataValidations count="1">
    <dataValidation type="list" allowBlank="1" showInputMessage="1" showErrorMessage="1" sqref="C7:K7">
      <formula1>委托单位信息!#REF!</formula1>
    </dataValidation>
  </dataValidations>
  <pageMargins left="0.75" right="0.75" top="0.354166666666667" bottom="0.747916666666667" header="0.354166666666667" footer="0.747916666666667"/>
  <pageSetup paperSize="9" orientation="portrait"/>
  <headerFooter alignWithMargins="0" scaleWithDoc="0"/>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R25"/>
  <sheetViews>
    <sheetView view="pageBreakPreview" zoomScaleNormal="145" workbookViewId="0">
      <selection activeCell="G18" sqref="G18:I18"/>
    </sheetView>
  </sheetViews>
  <sheetFormatPr defaultColWidth="9" defaultRowHeight="14.25"/>
  <cols>
    <col min="2" max="2" width="5.125" customWidth="1"/>
    <col min="4" max="4" width="5.25" customWidth="1"/>
    <col min="6" max="6" width="7.375" customWidth="1"/>
    <col min="7" max="7" width="3.75" customWidth="1"/>
    <col min="8" max="8" width="10.75" customWidth="1"/>
    <col min="9" max="9" width="4.125" customWidth="1"/>
    <col min="10" max="10" width="17.125" customWidth="1"/>
    <col min="11" max="11" width="0.125" customWidth="1"/>
    <col min="13" max="14" width="12.625"/>
  </cols>
  <sheetData>
    <row r="1" spans="1:11">
      <c r="A1" s="1" t="s">
        <v>64</v>
      </c>
      <c r="B1" s="2"/>
      <c r="C1" s="3" t="s">
        <v>54</v>
      </c>
      <c r="D1" s="3"/>
      <c r="E1" s="4"/>
      <c r="G1" s="5" t="s">
        <v>65</v>
      </c>
      <c r="H1" s="5"/>
      <c r="I1" s="5"/>
      <c r="J1" s="5"/>
      <c r="K1" s="5"/>
    </row>
    <row r="2" spans="1:13">
      <c r="A2" s="1"/>
      <c r="B2" s="2"/>
      <c r="C2" s="3"/>
      <c r="D2" s="3"/>
      <c r="E2" s="4"/>
      <c r="F2" s="6"/>
      <c r="G2" s="7" t="s">
        <v>66</v>
      </c>
      <c r="H2" s="7"/>
      <c r="I2" s="7"/>
      <c r="J2" s="7"/>
      <c r="K2" s="7"/>
      <c r="L2" s="28"/>
      <c r="M2" s="28"/>
    </row>
    <row r="3" spans="1:11">
      <c r="A3" s="8"/>
      <c r="B3" s="8"/>
      <c r="C3" s="8"/>
      <c r="D3" s="8"/>
      <c r="E3" s="8"/>
      <c r="F3" s="8"/>
      <c r="G3" s="9" t="s">
        <v>67</v>
      </c>
      <c r="H3" s="9"/>
      <c r="I3" s="9"/>
      <c r="J3" s="9"/>
      <c r="K3" s="9"/>
    </row>
    <row r="4" spans="1:11">
      <c r="A4" s="10"/>
      <c r="B4" s="10"/>
      <c r="C4" s="10"/>
      <c r="D4" s="10"/>
      <c r="E4" s="10"/>
      <c r="F4" s="10"/>
      <c r="G4" s="10"/>
      <c r="H4" s="10"/>
      <c r="I4" s="10"/>
      <c r="J4" s="10"/>
      <c r="K4" s="10"/>
    </row>
    <row r="5" ht="37" customHeight="1" spans="1:11">
      <c r="A5" s="11" t="s">
        <v>68</v>
      </c>
      <c r="B5" s="11"/>
      <c r="C5" s="11"/>
      <c r="D5" s="11"/>
      <c r="E5" s="11"/>
      <c r="F5" s="11"/>
      <c r="G5" s="11"/>
      <c r="H5" s="11"/>
      <c r="I5" s="11"/>
      <c r="J5" s="11"/>
      <c r="K5" s="11"/>
    </row>
    <row r="6" ht="12" customHeight="1" spans="1:11">
      <c r="A6" s="12"/>
      <c r="B6" s="12"/>
      <c r="C6" s="12"/>
      <c r="D6" s="12"/>
      <c r="E6" s="12"/>
      <c r="F6" s="12"/>
      <c r="G6" s="12"/>
      <c r="H6" s="12"/>
      <c r="I6" s="12"/>
      <c r="J6" s="12"/>
      <c r="K6" s="12"/>
    </row>
    <row r="7" ht="30" customHeight="1" spans="1:11">
      <c r="A7" s="13" t="s">
        <v>2</v>
      </c>
      <c r="B7" s="13"/>
      <c r="C7" s="14" t="s">
        <v>38</v>
      </c>
      <c r="D7" s="14"/>
      <c r="E7" s="14"/>
      <c r="F7" s="14"/>
      <c r="G7" s="14"/>
      <c r="H7" s="14"/>
      <c r="I7" s="14"/>
      <c r="J7" s="14"/>
      <c r="K7" s="14"/>
    </row>
    <row r="8" ht="30" customHeight="1" spans="1:11">
      <c r="A8" s="13" t="s">
        <v>3</v>
      </c>
      <c r="B8" s="13"/>
      <c r="C8" s="15" t="s">
        <v>39</v>
      </c>
      <c r="D8" s="15"/>
      <c r="E8" s="15"/>
      <c r="F8" s="15"/>
      <c r="G8" s="15"/>
      <c r="H8" s="13" t="s">
        <v>10</v>
      </c>
      <c r="I8" s="13" t="s">
        <v>57</v>
      </c>
      <c r="J8" s="13"/>
      <c r="K8" s="13"/>
    </row>
    <row r="9" ht="30" customHeight="1" spans="1:11">
      <c r="A9" s="13" t="s">
        <v>5</v>
      </c>
      <c r="B9" s="13"/>
      <c r="C9" s="15" t="s">
        <v>39</v>
      </c>
      <c r="D9" s="15"/>
      <c r="E9" s="15"/>
      <c r="F9" s="15"/>
      <c r="G9" s="15"/>
      <c r="H9" s="16" t="s">
        <v>69</v>
      </c>
      <c r="I9" s="13" t="s">
        <v>40</v>
      </c>
      <c r="J9" s="13"/>
      <c r="K9" s="13"/>
    </row>
    <row r="10" ht="30" customHeight="1" spans="1:11">
      <c r="A10" s="13" t="s">
        <v>4</v>
      </c>
      <c r="B10" s="13"/>
      <c r="C10" s="15" t="s">
        <v>39</v>
      </c>
      <c r="D10" s="15"/>
      <c r="E10" s="15"/>
      <c r="F10" s="15"/>
      <c r="G10" s="15"/>
      <c r="H10" s="13" t="s">
        <v>70</v>
      </c>
      <c r="I10" s="13" t="s">
        <v>71</v>
      </c>
      <c r="J10" s="13"/>
      <c r="K10" s="13"/>
    </row>
    <row r="11" ht="30" customHeight="1" spans="1:11">
      <c r="A11" s="13" t="s">
        <v>47</v>
      </c>
      <c r="B11" s="13"/>
      <c r="C11" s="15" t="s">
        <v>53</v>
      </c>
      <c r="D11" s="15"/>
      <c r="E11" s="15"/>
      <c r="F11" s="15"/>
      <c r="G11" s="15"/>
      <c r="H11" s="13" t="s">
        <v>46</v>
      </c>
      <c r="I11" s="13" t="s">
        <v>52</v>
      </c>
      <c r="J11" s="13"/>
      <c r="K11" s="13"/>
    </row>
    <row r="12" ht="30" customHeight="1" spans="1:11">
      <c r="A12" s="13" t="s">
        <v>73</v>
      </c>
      <c r="B12" s="13"/>
      <c r="C12" s="15" t="s">
        <v>74</v>
      </c>
      <c r="D12" s="15"/>
      <c r="E12" s="15"/>
      <c r="F12" s="15"/>
      <c r="G12" s="15"/>
      <c r="H12" s="13" t="s">
        <v>50</v>
      </c>
      <c r="I12" s="29">
        <v>44456</v>
      </c>
      <c r="J12" s="29"/>
      <c r="K12" s="13"/>
    </row>
    <row r="13" ht="30" customHeight="1" spans="1:11">
      <c r="A13" s="13" t="s">
        <v>44</v>
      </c>
      <c r="B13" s="13"/>
      <c r="C13" s="15" t="s">
        <v>51</v>
      </c>
      <c r="D13" s="15"/>
      <c r="E13" s="15"/>
      <c r="F13" s="15"/>
      <c r="G13" s="15"/>
      <c r="H13" s="13" t="s">
        <v>61</v>
      </c>
      <c r="I13" s="29">
        <v>44459</v>
      </c>
      <c r="J13" s="29"/>
      <c r="K13" s="13"/>
    </row>
    <row r="14" ht="30" customHeight="1" spans="1:11">
      <c r="A14" s="13" t="s">
        <v>75</v>
      </c>
      <c r="B14" s="13"/>
      <c r="C14" s="17">
        <v>25</v>
      </c>
      <c r="D14" s="17"/>
      <c r="E14" s="17"/>
      <c r="F14" s="17"/>
      <c r="G14" s="17"/>
      <c r="H14" s="13" t="s">
        <v>62</v>
      </c>
      <c r="I14" s="29">
        <v>44460</v>
      </c>
      <c r="J14" s="29"/>
      <c r="K14" s="13"/>
    </row>
    <row r="15" ht="30" customHeight="1" spans="1:11">
      <c r="A15" s="13" t="s">
        <v>76</v>
      </c>
      <c r="B15" s="13"/>
      <c r="C15" s="14" t="s">
        <v>77</v>
      </c>
      <c r="D15" s="14"/>
      <c r="E15" s="14"/>
      <c r="F15" s="14"/>
      <c r="G15" s="14"/>
      <c r="H15" s="14"/>
      <c r="I15" s="14"/>
      <c r="J15" s="14"/>
      <c r="K15" s="14"/>
    </row>
    <row r="16" ht="30" customHeight="1" spans="1:11">
      <c r="A16" s="13" t="s">
        <v>78</v>
      </c>
      <c r="B16" s="13"/>
      <c r="C16" s="14" t="s">
        <v>79</v>
      </c>
      <c r="D16" s="14"/>
      <c r="E16" s="14"/>
      <c r="F16" s="14"/>
      <c r="G16" s="14"/>
      <c r="H16" s="14"/>
      <c r="I16" s="14"/>
      <c r="J16" s="14"/>
      <c r="K16" s="14"/>
    </row>
    <row r="17" ht="40" customHeight="1" spans="1:11">
      <c r="A17" s="16" t="s">
        <v>80</v>
      </c>
      <c r="B17" s="16"/>
      <c r="C17" s="13" t="s">
        <v>81</v>
      </c>
      <c r="D17" s="13"/>
      <c r="E17" s="13">
        <v>1</v>
      </c>
      <c r="F17" s="13"/>
      <c r="G17" s="13">
        <v>2</v>
      </c>
      <c r="H17" s="13"/>
      <c r="I17" s="13"/>
      <c r="J17" s="13">
        <v>3</v>
      </c>
      <c r="K17" s="13"/>
    </row>
    <row r="18" ht="40" customHeight="1" spans="1:11">
      <c r="A18" s="16"/>
      <c r="B18" s="16"/>
      <c r="C18" s="18" t="s">
        <v>82</v>
      </c>
      <c r="D18" s="18"/>
      <c r="E18" s="13">
        <v>297.6</v>
      </c>
      <c r="F18" s="13"/>
      <c r="G18" s="13">
        <v>299.3</v>
      </c>
      <c r="H18" s="13"/>
      <c r="I18" s="13"/>
      <c r="J18" s="13">
        <v>296.5</v>
      </c>
      <c r="K18" s="13"/>
    </row>
    <row r="19" ht="40" customHeight="1" spans="1:18">
      <c r="A19" s="16"/>
      <c r="B19" s="16"/>
      <c r="C19" s="18" t="s">
        <v>83</v>
      </c>
      <c r="D19" s="18"/>
      <c r="E19" s="13">
        <v>605</v>
      </c>
      <c r="F19" s="13"/>
      <c r="G19" s="13">
        <v>610</v>
      </c>
      <c r="H19" s="13"/>
      <c r="I19" s="13"/>
      <c r="J19" s="13">
        <v>605</v>
      </c>
      <c r="K19" s="13"/>
      <c r="M19" s="30"/>
      <c r="N19" s="30"/>
      <c r="O19" s="30"/>
      <c r="P19" s="30"/>
      <c r="Q19" s="30"/>
      <c r="R19" s="30"/>
    </row>
    <row r="20" ht="40" customHeight="1" spans="1:18">
      <c r="A20" s="16"/>
      <c r="B20" s="16"/>
      <c r="C20" s="13" t="s">
        <v>84</v>
      </c>
      <c r="D20" s="13"/>
      <c r="E20" s="13" t="s">
        <v>85</v>
      </c>
      <c r="F20" s="13"/>
      <c r="G20" s="13" t="s">
        <v>85</v>
      </c>
      <c r="H20" s="13"/>
      <c r="I20" s="13"/>
      <c r="J20" s="13" t="s">
        <v>85</v>
      </c>
      <c r="K20" s="13"/>
      <c r="M20" s="30"/>
      <c r="N20" s="30"/>
      <c r="O20" s="30"/>
      <c r="P20" s="30"/>
      <c r="Q20" s="30"/>
      <c r="R20" s="30"/>
    </row>
    <row r="21" ht="30" customHeight="1" spans="1:11">
      <c r="A21" s="19" t="s">
        <v>86</v>
      </c>
      <c r="B21" s="20" t="s">
        <v>87</v>
      </c>
      <c r="C21" s="20"/>
      <c r="D21" s="20"/>
      <c r="E21" s="20"/>
      <c r="F21" s="20"/>
      <c r="G21" s="20"/>
      <c r="H21" s="20"/>
      <c r="I21" s="20"/>
      <c r="J21" s="20"/>
      <c r="K21" s="20"/>
    </row>
    <row r="22" ht="30" customHeight="1" spans="1:11">
      <c r="A22" s="21" t="s">
        <v>88</v>
      </c>
      <c r="B22" s="14" t="s">
        <v>89</v>
      </c>
      <c r="C22" s="14"/>
      <c r="D22" s="14"/>
      <c r="E22" s="14"/>
      <c r="F22" s="14"/>
      <c r="G22" s="14"/>
      <c r="H22" s="14"/>
      <c r="I22" s="14"/>
      <c r="J22" s="14"/>
      <c r="K22" s="14"/>
    </row>
    <row r="23" ht="43" customHeight="1" spans="1:11">
      <c r="A23" s="22" t="s">
        <v>90</v>
      </c>
      <c r="B23" s="23" t="s">
        <v>91</v>
      </c>
      <c r="C23" s="24"/>
      <c r="D23" s="24"/>
      <c r="E23" s="24"/>
      <c r="F23" s="24"/>
      <c r="G23" s="24"/>
      <c r="H23" s="24"/>
      <c r="I23" s="24"/>
      <c r="J23" s="24"/>
      <c r="K23" s="24"/>
    </row>
    <row r="24" ht="13" customHeight="1" spans="1:11">
      <c r="A24" s="25"/>
      <c r="B24" s="26"/>
      <c r="C24" s="7"/>
      <c r="D24" s="7"/>
      <c r="E24" s="7"/>
      <c r="F24" s="7"/>
      <c r="G24" s="7"/>
      <c r="H24" s="7"/>
      <c r="I24" s="7"/>
      <c r="J24" s="7"/>
      <c r="K24" s="7"/>
    </row>
    <row r="25" ht="34" customHeight="1" spans="1:11">
      <c r="A25" s="27" t="s">
        <v>92</v>
      </c>
      <c r="B25" s="27"/>
      <c r="C25" s="27"/>
      <c r="D25" s="27" t="s">
        <v>93</v>
      </c>
      <c r="E25" s="27"/>
      <c r="F25" s="27"/>
      <c r="G25" s="27"/>
      <c r="H25" s="27" t="s">
        <v>94</v>
      </c>
      <c r="I25" s="27"/>
      <c r="J25" s="27"/>
      <c r="K25" s="27"/>
    </row>
  </sheetData>
  <mergeCells count="58">
    <mergeCell ref="G1:K1"/>
    <mergeCell ref="G2:K2"/>
    <mergeCell ref="A3:F3"/>
    <mergeCell ref="G3:K3"/>
    <mergeCell ref="A4:K4"/>
    <mergeCell ref="A5:K5"/>
    <mergeCell ref="A7:B7"/>
    <mergeCell ref="C7:K7"/>
    <mergeCell ref="A8:B8"/>
    <mergeCell ref="C8:G8"/>
    <mergeCell ref="I8:J8"/>
    <mergeCell ref="A9:B9"/>
    <mergeCell ref="C9:G9"/>
    <mergeCell ref="I9:J9"/>
    <mergeCell ref="A10:B10"/>
    <mergeCell ref="C10:G10"/>
    <mergeCell ref="I10:J10"/>
    <mergeCell ref="A11:B11"/>
    <mergeCell ref="C11:G11"/>
    <mergeCell ref="I11:J11"/>
    <mergeCell ref="A12:B12"/>
    <mergeCell ref="C12:G12"/>
    <mergeCell ref="I12:J12"/>
    <mergeCell ref="A13:B13"/>
    <mergeCell ref="C13:G13"/>
    <mergeCell ref="I13:J13"/>
    <mergeCell ref="A14:B14"/>
    <mergeCell ref="C14:G14"/>
    <mergeCell ref="I14:J14"/>
    <mergeCell ref="A15:B15"/>
    <mergeCell ref="C15:K15"/>
    <mergeCell ref="A16:B16"/>
    <mergeCell ref="C16:K16"/>
    <mergeCell ref="C17:D17"/>
    <mergeCell ref="E17:F17"/>
    <mergeCell ref="G17:I17"/>
    <mergeCell ref="J17:K17"/>
    <mergeCell ref="C18:D18"/>
    <mergeCell ref="E18:F18"/>
    <mergeCell ref="G18:I18"/>
    <mergeCell ref="J18:K18"/>
    <mergeCell ref="C19:D19"/>
    <mergeCell ref="E19:F19"/>
    <mergeCell ref="G19:I19"/>
    <mergeCell ref="J19:K19"/>
    <mergeCell ref="C20:D20"/>
    <mergeCell ref="E20:F20"/>
    <mergeCell ref="G20:I20"/>
    <mergeCell ref="J20:K20"/>
    <mergeCell ref="B21:K21"/>
    <mergeCell ref="B22:K22"/>
    <mergeCell ref="B23:K23"/>
    <mergeCell ref="A25:C25"/>
    <mergeCell ref="D25:G25"/>
    <mergeCell ref="H25:K25"/>
    <mergeCell ref="A1:B2"/>
    <mergeCell ref="C1:E2"/>
    <mergeCell ref="A17:B20"/>
  </mergeCells>
  <dataValidations count="1">
    <dataValidation type="list" allowBlank="1" showInputMessage="1" showErrorMessage="1" sqref="C7:K7">
      <formula1>委托单位信息!#REF!</formula1>
    </dataValidation>
  </dataValidations>
  <pageMargins left="0.75" right="0.75" top="0.354166666666667" bottom="0.747916666666667" header="0.354166666666667" footer="0.747916666666667"/>
  <pageSetup paperSize="9" orientation="portrait"/>
  <headerFooter alignWithMargins="0" scaleWithDoc="0"/>
  <drawing r:id="rId1"/>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6</vt:i4>
      </vt:variant>
    </vt:vector>
  </HeadingPairs>
  <TitlesOfParts>
    <vt:vector size="6" baseType="lpstr">
      <vt:lpstr>委托单位信息</vt:lpstr>
      <vt:lpstr>钢筋机械连接检测</vt:lpstr>
      <vt:lpstr>委托单</vt:lpstr>
      <vt:lpstr>机械连接报告</vt:lpstr>
      <vt:lpstr>150105-2021000039</vt:lpstr>
      <vt:lpstr>150105-2021000020</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浪</cp:lastModifiedBy>
  <dcterms:created xsi:type="dcterms:W3CDTF">2021-07-28T02:36:00Z</dcterms:created>
  <dcterms:modified xsi:type="dcterms:W3CDTF">2021-10-08T04:57:24Z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F8B28E5B16DD4402BE075AC8E6503736</vt:lpwstr>
  </property>
  <property fmtid="{D5CDD505-2E9C-101B-9397-08002B2CF9AE}" pid="3" name="KSOProductBuildVer">
    <vt:lpwstr>2052-11.1.0.10938</vt:lpwstr>
  </property>
</Properties>
</file>